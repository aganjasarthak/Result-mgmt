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 FILES\"/>
    </mc:Choice>
  </mc:AlternateContent>
  <xr:revisionPtr revIDLastSave="0" documentId="13_ncr:1_{062AE757-B4CD-4849-A9E3-7AD7A736E527}" xr6:coauthVersionLast="36" xr6:coauthVersionMax="36" xr10:uidLastSave="{00000000-0000-0000-0000-000000000000}"/>
  <bookViews>
    <workbookView xWindow="0" yWindow="0" windowWidth="20490" windowHeight="8130" activeTab="1" xr2:uid="{B34DC14C-A29A-47D3-AB50-C76127BAAE28}"/>
  </bookViews>
  <sheets>
    <sheet name="BasicValue" sheetId="2" r:id="rId1"/>
    <sheet name="Input" sheetId="1" r:id="rId2"/>
    <sheet name="Grade" sheetId="3" r:id="rId3"/>
    <sheet name="Statistics" sheetId="4" r:id="rId4"/>
    <sheet name="References" sheetId="6" r:id="rId5"/>
    <sheet name="1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4" l="1"/>
  <c r="H29" i="5"/>
  <c r="F20" i="2" l="1"/>
  <c r="F19" i="2"/>
  <c r="A15" i="5" l="1"/>
  <c r="E28" i="5"/>
  <c r="E27" i="5"/>
  <c r="E26" i="5"/>
  <c r="A13" i="5" l="1"/>
  <c r="A2" i="5" l="1"/>
  <c r="G18" i="5"/>
  <c r="D17" i="4" l="1"/>
  <c r="C1" i="1"/>
  <c r="A1" i="5"/>
  <c r="D20" i="4"/>
  <c r="D19" i="4"/>
  <c r="E19" i="4" l="1"/>
  <c r="C21" i="4"/>
  <c r="E18" i="4"/>
  <c r="E20" i="4"/>
  <c r="D16" i="4" l="1"/>
</calcChain>
</file>

<file path=xl/sharedStrings.xml><?xml version="1.0" encoding="utf-8"?>
<sst xmlns="http://schemas.openxmlformats.org/spreadsheetml/2006/main" count="36" uniqueCount="34">
  <si>
    <t>Nr.</t>
  </si>
  <si>
    <t>Name, Vorname</t>
  </si>
  <si>
    <t>Matr.-Nr.</t>
  </si>
  <si>
    <t>Versuch</t>
  </si>
  <si>
    <t>Anwesend</t>
  </si>
  <si>
    <t>Summe Teil 1</t>
  </si>
  <si>
    <t>Summe Teil 2</t>
  </si>
  <si>
    <t>Gesamtsumme</t>
  </si>
  <si>
    <t>Prozent</t>
  </si>
  <si>
    <t>Number Of Students</t>
  </si>
  <si>
    <t>Full marks</t>
  </si>
  <si>
    <t>Number of Students</t>
  </si>
  <si>
    <t>Half points (On/Off)</t>
  </si>
  <si>
    <t>Date Of Exam</t>
  </si>
  <si>
    <t>Grades</t>
  </si>
  <si>
    <t>Count</t>
  </si>
  <si>
    <t>N/A</t>
  </si>
  <si>
    <t>First Part Questions</t>
  </si>
  <si>
    <t>Second Part Questions</t>
  </si>
  <si>
    <t>Name of subject</t>
  </si>
  <si>
    <t>Anzahl angemeldet:</t>
  </si>
  <si>
    <t>bestanden:</t>
  </si>
  <si>
    <t>nicht bestanden:</t>
  </si>
  <si>
    <t>nicht erschienen:</t>
  </si>
  <si>
    <t>Notendurchschnitt:</t>
  </si>
  <si>
    <t>Relative</t>
  </si>
  <si>
    <t>Two Part Exams</t>
  </si>
  <si>
    <t>1-grade marks</t>
  </si>
  <si>
    <t>4-grade marks</t>
  </si>
  <si>
    <t>second part</t>
  </si>
  <si>
    <t>sum tell 2</t>
  </si>
  <si>
    <t>sum tell 1</t>
  </si>
  <si>
    <t>Starting Point</t>
  </si>
  <si>
    <t>Interval You Need: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</si>
</sst>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0"/>
    <numFmt numFmtId="165" formatCode="0.0"/>
    <numFmt numFmtId="166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sz val="12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27">
    <xf numFmtId="0" fontId="0" fillId="0" borderId="0" xfId="0"/>
    <xf numFmtId="164" fontId="3" fillId="2" borderId="1" xfId="0" applyNumberFormat="1" applyFont="1" applyFill="1" applyBorder="1"/>
    <xf numFmtId="9" fontId="0" fillId="0" borderId="0" xfId="1" applyFont="1"/>
    <xf numFmtId="9" fontId="3" fillId="2" borderId="1" xfId="1" applyFont="1" applyFill="1" applyBorder="1"/>
    <xf numFmtId="0" fontId="0" fillId="0" borderId="1" xfId="0" applyBorder="1"/>
    <xf numFmtId="165" fontId="0" fillId="3" borderId="1" xfId="0" applyNumberFormat="1" applyFill="1" applyBorder="1"/>
    <xf numFmtId="9" fontId="0" fillId="3" borderId="1" xfId="1" applyFont="1" applyFill="1" applyBorder="1"/>
    <xf numFmtId="0" fontId="0" fillId="0" borderId="0" xfId="0" applyBorder="1"/>
    <xf numFmtId="0" fontId="2" fillId="0" borderId="0" xfId="0" applyFont="1" applyBorder="1"/>
    <xf numFmtId="9" fontId="0" fillId="0" borderId="0" xfId="1" applyFont="1" applyBorder="1"/>
    <xf numFmtId="0" fontId="0" fillId="0" borderId="0" xfId="0" applyFill="1" applyBorder="1"/>
    <xf numFmtId="9" fontId="0" fillId="0" borderId="1" xfId="1" applyFont="1" applyBorder="1"/>
    <xf numFmtId="0" fontId="5" fillId="4" borderId="1" xfId="0" applyFont="1" applyFill="1" applyBorder="1"/>
    <xf numFmtId="0" fontId="5" fillId="0" borderId="1" xfId="0" applyFont="1" applyBorder="1"/>
    <xf numFmtId="0" fontId="7" fillId="0" borderId="0" xfId="2" applyFont="1" applyAlignment="1">
      <alignment vertical="center"/>
    </xf>
    <xf numFmtId="0" fontId="7" fillId="0" borderId="0" xfId="2" applyFont="1"/>
    <xf numFmtId="0" fontId="7" fillId="0" borderId="0" xfId="2" applyFont="1" applyAlignment="1">
      <alignment horizontal="right" vertical="center" indent="2"/>
    </xf>
    <xf numFmtId="166" fontId="7" fillId="0" borderId="0" xfId="2" applyNumberFormat="1" applyFont="1" applyAlignment="1">
      <alignment horizontal="center" vertical="center"/>
    </xf>
    <xf numFmtId="9" fontId="7" fillId="0" borderId="0" xfId="2" applyNumberFormat="1" applyFont="1" applyAlignment="1">
      <alignment horizontal="center" vertical="center"/>
    </xf>
    <xf numFmtId="0" fontId="8" fillId="0" borderId="0" xfId="2" applyFont="1"/>
    <xf numFmtId="2" fontId="8" fillId="0" borderId="0" xfId="2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9" fontId="2" fillId="0" borderId="1" xfId="1" applyFont="1" applyBorder="1"/>
    <xf numFmtId="0" fontId="0" fillId="0" borderId="1" xfId="0" applyFill="1" applyBorder="1"/>
    <xf numFmtId="0" fontId="4" fillId="0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</cellXfs>
  <cellStyles count="3">
    <cellStyle name="Normal" xfId="0" builtinId="0"/>
    <cellStyle name="Percent" xfId="1" builtinId="5"/>
    <cellStyle name="Standard 2" xfId="2" xr:uid="{FAE05508-1924-451E-8AAE-25D8B2B5BA6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Grades (X) /Relative (Y)</a:t>
            </a:r>
            <a:r>
              <a:rPr lang="en-US" baseline="0"/>
              <a:t> CHART</a:t>
            </a:r>
            <a:endParaRPr lang="en-US"/>
          </a:p>
        </c:rich>
      </c:tx>
      <c:layout>
        <c:manualLayout>
          <c:xMode val="edge"/>
          <c:yMode val="edge"/>
          <c:x val="0.26537667516611341"/>
          <c:y val="3.0601092896174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202731205244197E-2"/>
          <c:y val="0.16426005765672733"/>
          <c:w val="0.88498840769903764"/>
          <c:h val="0.72088764946048411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Statistics!$C$4:$C$15</c:f>
              <c:strCache>
                <c:ptCount val="12"/>
                <c:pt idx="0">
                  <c:v>1</c:v>
                </c:pt>
                <c:pt idx="1">
                  <c:v>1.3</c:v>
                </c:pt>
                <c:pt idx="2">
                  <c:v>1.7</c:v>
                </c:pt>
                <c:pt idx="3">
                  <c:v>2</c:v>
                </c:pt>
                <c:pt idx="4">
                  <c:v>2.3</c:v>
                </c:pt>
                <c:pt idx="5">
                  <c:v>2.7</c:v>
                </c:pt>
                <c:pt idx="6">
                  <c:v>3</c:v>
                </c:pt>
                <c:pt idx="7">
                  <c:v>3.3</c:v>
                </c:pt>
                <c:pt idx="8">
                  <c:v>3.7</c:v>
                </c:pt>
                <c:pt idx="9">
                  <c:v>4</c:v>
                </c:pt>
                <c:pt idx="10">
                  <c:v>5</c:v>
                </c:pt>
                <c:pt idx="11">
                  <c:v>N/A</c:v>
                </c:pt>
              </c:strCache>
            </c:strRef>
          </c:cat>
          <c:val>
            <c:numRef>
              <c:f>Statistics!$E$4:$E$15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2-4B2D-B908-8047ABC7E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0724351"/>
        <c:axId val="1435216831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Statistics!$C$4:$C$15</c15:sqref>
                        </c15:formulaRef>
                      </c:ext>
                    </c:extLst>
                    <c:strCache>
                      <c:ptCount val="12"/>
                      <c:pt idx="0">
                        <c:v>1</c:v>
                      </c:pt>
                      <c:pt idx="1">
                        <c:v>1.3</c:v>
                      </c:pt>
                      <c:pt idx="2">
                        <c:v>1.7</c:v>
                      </c:pt>
                      <c:pt idx="3">
                        <c:v>2</c:v>
                      </c:pt>
                      <c:pt idx="4">
                        <c:v>2.3</c:v>
                      </c:pt>
                      <c:pt idx="5">
                        <c:v>2.7</c:v>
                      </c:pt>
                      <c:pt idx="6">
                        <c:v>3</c:v>
                      </c:pt>
                      <c:pt idx="7">
                        <c:v>3.3</c:v>
                      </c:pt>
                      <c:pt idx="8">
                        <c:v>3.7</c:v>
                      </c:pt>
                      <c:pt idx="9">
                        <c:v>4</c:v>
                      </c:pt>
                      <c:pt idx="10">
                        <c:v>5</c:v>
                      </c:pt>
                      <c:pt idx="11">
                        <c:v>N/A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Statistics!$D$4:$D$15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7C2-4B2D-B908-8047ABC7E021}"/>
                  </c:ext>
                </c:extLst>
              </c15:ser>
            </c15:filteredBarSeries>
          </c:ext>
        </c:extLst>
      </c:barChart>
      <c:catAx>
        <c:axId val="137072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216831"/>
        <c:crosses val="autoZero"/>
        <c:auto val="1"/>
        <c:lblAlgn val="ctr"/>
        <c:lblOffset val="100"/>
        <c:noMultiLvlLbl val="0"/>
      </c:catAx>
      <c:valAx>
        <c:axId val="14352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724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2</xdr:row>
      <xdr:rowOff>0</xdr:rowOff>
    </xdr:from>
    <xdr:to>
      <xdr:col>7</xdr:col>
      <xdr:colOff>247649</xdr:colOff>
      <xdr:row>4</xdr:row>
      <xdr:rowOff>142875</xdr:rowOff>
    </xdr:to>
    <xdr:sp macro="[0]!Sheet1.create_PDF" textlink="">
      <xdr:nvSpPr>
        <xdr:cNvPr id="4" name="Rectangle 3">
          <a:extLst>
            <a:ext uri="{FF2B5EF4-FFF2-40B4-BE49-F238E27FC236}">
              <a16:creationId xmlns:a16="http://schemas.microsoft.com/office/drawing/2014/main" id="{45729041-AA46-4565-9734-2F63AC3B2FEC}"/>
            </a:ext>
          </a:extLst>
        </xdr:cNvPr>
        <xdr:cNvSpPr/>
      </xdr:nvSpPr>
      <xdr:spPr>
        <a:xfrm>
          <a:off x="5238749" y="381000"/>
          <a:ext cx="145732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pdf2 location</a:t>
          </a:r>
        </a:p>
      </xdr:txBody>
    </xdr:sp>
    <xdr:clientData/>
  </xdr:twoCellAnchor>
  <xdr:twoCellAnchor>
    <xdr:from>
      <xdr:col>2</xdr:col>
      <xdr:colOff>1076325</xdr:colOff>
      <xdr:row>1</xdr:row>
      <xdr:rowOff>180975</xdr:rowOff>
    </xdr:from>
    <xdr:to>
      <xdr:col>3</xdr:col>
      <xdr:colOff>857250</xdr:colOff>
      <xdr:row>4</xdr:row>
      <xdr:rowOff>133350</xdr:rowOff>
    </xdr:to>
    <xdr:sp macro="[0]!Sheet1.percent" textlink="">
      <xdr:nvSpPr>
        <xdr:cNvPr id="5" name="Rectangle 4">
          <a:extLst>
            <a:ext uri="{FF2B5EF4-FFF2-40B4-BE49-F238E27FC236}">
              <a16:creationId xmlns:a16="http://schemas.microsoft.com/office/drawing/2014/main" id="{2C7AE1C5-BAFB-4650-9D91-4ACF59E24148}"/>
            </a:ext>
          </a:extLst>
        </xdr:cNvPr>
        <xdr:cNvSpPr/>
      </xdr:nvSpPr>
      <xdr:spPr>
        <a:xfrm>
          <a:off x="2295525" y="371475"/>
          <a:ext cx="160972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SOLVE NOW</a:t>
          </a:r>
          <a:r>
            <a:rPr lang="en-US" sz="1400" b="1" baseline="0"/>
            <a:t> </a:t>
          </a:r>
          <a:endParaRPr lang="en-US" sz="1400" b="1"/>
        </a:p>
      </xdr:txBody>
    </xdr:sp>
    <xdr:clientData/>
  </xdr:twoCellAnchor>
  <xdr:twoCellAnchor>
    <xdr:from>
      <xdr:col>0</xdr:col>
      <xdr:colOff>95250</xdr:colOff>
      <xdr:row>1</xdr:row>
      <xdr:rowOff>171450</xdr:rowOff>
    </xdr:from>
    <xdr:to>
      <xdr:col>2</xdr:col>
      <xdr:colOff>95250</xdr:colOff>
      <xdr:row>4</xdr:row>
      <xdr:rowOff>95250</xdr:rowOff>
    </xdr:to>
    <xdr:sp macro="[0]!Sheet1.clear" textlink="">
      <xdr:nvSpPr>
        <xdr:cNvPr id="7" name="Rectangle 6">
          <a:extLst>
            <a:ext uri="{FF2B5EF4-FFF2-40B4-BE49-F238E27FC236}">
              <a16:creationId xmlns:a16="http://schemas.microsoft.com/office/drawing/2014/main" id="{15478395-3985-462A-8EE5-1FB1627C21D2}"/>
            </a:ext>
          </a:extLst>
        </xdr:cNvPr>
        <xdr:cNvSpPr/>
      </xdr:nvSpPr>
      <xdr:spPr>
        <a:xfrm>
          <a:off x="95250" y="361950"/>
          <a:ext cx="121920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</a:t>
          </a:r>
        </a:p>
      </xdr:txBody>
    </xdr:sp>
    <xdr:clientData/>
  </xdr:twoCellAnchor>
  <xdr:twoCellAnchor>
    <xdr:from>
      <xdr:col>7</xdr:col>
      <xdr:colOff>466725</xdr:colOff>
      <xdr:row>2</xdr:row>
      <xdr:rowOff>28575</xdr:rowOff>
    </xdr:from>
    <xdr:to>
      <xdr:col>9</xdr:col>
      <xdr:colOff>333375</xdr:colOff>
      <xdr:row>4</xdr:row>
      <xdr:rowOff>114300</xdr:rowOff>
    </xdr:to>
    <xdr:sp macro="[0]!Sheet1.ExportSheetToPDF" textlink="">
      <xdr:nvSpPr>
        <xdr:cNvPr id="2" name="Rectangle 1">
          <a:extLst>
            <a:ext uri="{FF2B5EF4-FFF2-40B4-BE49-F238E27FC236}">
              <a16:creationId xmlns:a16="http://schemas.microsoft.com/office/drawing/2014/main" id="{E72F4186-58D7-4FDE-AD09-10740F4DB86B}"/>
            </a:ext>
          </a:extLst>
        </xdr:cNvPr>
        <xdr:cNvSpPr/>
      </xdr:nvSpPr>
      <xdr:spPr>
        <a:xfrm>
          <a:off x="6543675" y="409575"/>
          <a:ext cx="1085850" cy="466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PDF</a:t>
          </a:r>
        </a:p>
      </xdr:txBody>
    </xdr:sp>
    <xdr:clientData/>
  </xdr:twoCellAnchor>
  <xdr:twoCellAnchor>
    <xdr:from>
      <xdr:col>8</xdr:col>
      <xdr:colOff>447675</xdr:colOff>
      <xdr:row>7</xdr:row>
      <xdr:rowOff>171450</xdr:rowOff>
    </xdr:from>
    <xdr:to>
      <xdr:col>15</xdr:col>
      <xdr:colOff>323850</xdr:colOff>
      <xdr:row>15</xdr:row>
      <xdr:rowOff>123825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7EE6183-6B4B-4A5E-B9BA-23896028EA0A}"/>
            </a:ext>
          </a:extLst>
        </xdr:cNvPr>
        <xdr:cNvSpPr txBox="1"/>
      </xdr:nvSpPr>
      <xdr:spPr>
        <a:xfrm>
          <a:off x="8258175" y="1504950"/>
          <a:ext cx="4143375" cy="1809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DURING</a:t>
          </a:r>
          <a:r>
            <a:rPr lang="en-US" sz="1600" b="1" baseline="0"/>
            <a:t> FIRST STEP :</a:t>
          </a:r>
        </a:p>
        <a:p>
          <a:r>
            <a:rPr lang="en-US" sz="1600" b="1" baseline="0"/>
            <a:t> (WHILE FORMATTING TABLE) ,</a:t>
          </a:r>
          <a:r>
            <a:rPr lang="en-US" sz="1600" b="1"/>
            <a:t>IF ANY VALUE IS TO BE CHANGED </a:t>
          </a:r>
          <a:r>
            <a:rPr lang="en-US" sz="1600" b="1" baseline="0"/>
            <a:t> OR MISTAKEN ON BASIC VALUE, PLEASE CLICK </a:t>
          </a:r>
        </a:p>
        <a:p>
          <a:r>
            <a:rPr lang="en-US" sz="1600" b="1" baseline="0"/>
            <a:t>"UPDATE/CLEAR ALL "  BUTTON AND AGAIN RE-ENTER THE VALUES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66676</xdr:rowOff>
    </xdr:from>
    <xdr:to>
      <xdr:col>4</xdr:col>
      <xdr:colOff>638175</xdr:colOff>
      <xdr:row>0</xdr:row>
      <xdr:rowOff>466726</xdr:rowOff>
    </xdr:to>
    <xdr:sp macro="[0]!Sheet1.perce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87066B-78C0-4168-83EB-5F02C0CC77E0}"/>
            </a:ext>
          </a:extLst>
        </xdr:cNvPr>
        <xdr:cNvSpPr/>
      </xdr:nvSpPr>
      <xdr:spPr>
        <a:xfrm>
          <a:off x="4143375" y="66676"/>
          <a:ext cx="942975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1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tx1"/>
              </a:solidFill>
            </a:rPr>
            <a:t>SOLVE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21</xdr:row>
      <xdr:rowOff>19049</xdr:rowOff>
    </xdr:from>
    <xdr:to>
      <xdr:col>6</xdr:col>
      <xdr:colOff>9525</xdr:colOff>
      <xdr:row>36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7DA358-077B-4E65-86AD-F1DA13F8AB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3</xdr:row>
      <xdr:rowOff>38100</xdr:rowOff>
    </xdr:from>
    <xdr:to>
      <xdr:col>5</xdr:col>
      <xdr:colOff>504825</xdr:colOff>
      <xdr:row>4</xdr:row>
      <xdr:rowOff>161925</xdr:rowOff>
    </xdr:to>
    <xdr:sp macro="[0]!Sheet1.ref" textlink="">
      <xdr:nvSpPr>
        <xdr:cNvPr id="3" name="Rectangle 2">
          <a:extLst>
            <a:ext uri="{FF2B5EF4-FFF2-40B4-BE49-F238E27FC236}">
              <a16:creationId xmlns:a16="http://schemas.microsoft.com/office/drawing/2014/main" id="{EC6D60EC-4638-42CC-9DA2-FC5A234E2489}"/>
            </a:ext>
          </a:extLst>
        </xdr:cNvPr>
        <xdr:cNvSpPr/>
      </xdr:nvSpPr>
      <xdr:spPr>
        <a:xfrm>
          <a:off x="3848100" y="609600"/>
          <a:ext cx="104775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47625</xdr:colOff>
      <xdr:row>2</xdr:row>
      <xdr:rowOff>104775</xdr:rowOff>
    </xdr:from>
    <xdr:to>
      <xdr:col>15</xdr:col>
      <xdr:colOff>571500</xdr:colOff>
      <xdr:row>6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9F4968D-EB14-41B8-B0B3-947948016B4D}"/>
            </a:ext>
          </a:extLst>
        </xdr:cNvPr>
        <xdr:cNvSpPr txBox="1"/>
      </xdr:nvSpPr>
      <xdr:spPr>
        <a:xfrm>
          <a:off x="6638925" y="485775"/>
          <a:ext cx="4791075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THIS</a:t>
          </a:r>
          <a:r>
            <a:rPr lang="en-US" sz="1600" b="1" baseline="0"/>
            <a:t> REFERENCE SHEET WILL HELP TO ASSIGN YOU EXTREME 1 &amp; 4 - GRADE VALUES </a:t>
          </a:r>
          <a:endParaRPr lang="en-US" sz="1600" b="1"/>
        </a:p>
      </xdr:txBody>
    </xdr:sp>
    <xdr:clientData/>
  </xdr:twoCellAnchor>
  <xdr:twoCellAnchor>
    <xdr:from>
      <xdr:col>8</xdr:col>
      <xdr:colOff>66675</xdr:colOff>
      <xdr:row>8</xdr:row>
      <xdr:rowOff>47625</xdr:rowOff>
    </xdr:from>
    <xdr:to>
      <xdr:col>15</xdr:col>
      <xdr:colOff>552450</xdr:colOff>
      <xdr:row>14</xdr:row>
      <xdr:rowOff>133350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BA7ACF7-F6FB-49FE-AD5B-BBB77E45D400}"/>
            </a:ext>
          </a:extLst>
        </xdr:cNvPr>
        <xdr:cNvSpPr txBox="1"/>
      </xdr:nvSpPr>
      <xdr:spPr>
        <a:xfrm>
          <a:off x="6657975" y="1571625"/>
          <a:ext cx="4752975" cy="12287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BEFORE HITTING THIS REFERENCE BUTTON, MAKE SURE YOU ENTER</a:t>
          </a:r>
          <a:r>
            <a:rPr lang="en-US" sz="1800" b="1" baseline="0"/>
            <a:t> ALL THE VALUES IN "BASIC VALUE" SHEET AND "INPUT SHEET" CORRECTLY </a:t>
          </a:r>
          <a:endParaRPr lang="en-US" sz="1800" b="1"/>
        </a:p>
      </xdr:txBody>
    </xdr:sp>
    <xdr:clientData/>
  </xdr:twoCellAnchor>
  <xdr:twoCellAnchor>
    <xdr:from>
      <xdr:col>4</xdr:col>
      <xdr:colOff>85725</xdr:colOff>
      <xdr:row>7</xdr:row>
      <xdr:rowOff>9525</xdr:rowOff>
    </xdr:from>
    <xdr:to>
      <xdr:col>5</xdr:col>
      <xdr:colOff>504825</xdr:colOff>
      <xdr:row>9</xdr:row>
      <xdr:rowOff>114300</xdr:rowOff>
    </xdr:to>
    <xdr:sp macro="[0]!Sheet1.CLEARREF" textlink="">
      <xdr:nvSpPr>
        <xdr:cNvPr id="6" name="Rectangle 5">
          <a:extLst>
            <a:ext uri="{FF2B5EF4-FFF2-40B4-BE49-F238E27FC236}">
              <a16:creationId xmlns:a16="http://schemas.microsoft.com/office/drawing/2014/main" id="{BDDB47D4-1E18-4672-A220-274D625C2A1C}"/>
            </a:ext>
          </a:extLst>
        </xdr:cNvPr>
        <xdr:cNvSpPr/>
      </xdr:nvSpPr>
      <xdr:spPr>
        <a:xfrm>
          <a:off x="4238625" y="1343025"/>
          <a:ext cx="10287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6BF87-33B9-4801-9855-D01BE2039330}">
  <sheetPr codeName="Sheet2"/>
  <dimension ref="C9:G21"/>
  <sheetViews>
    <sheetView workbookViewId="0">
      <selection activeCell="F18" sqref="F18"/>
    </sheetView>
  </sheetViews>
  <sheetFormatPr defaultRowHeight="15" x14ac:dyDescent="0.25"/>
  <cols>
    <col min="3" max="3" width="27.42578125" customWidth="1"/>
    <col min="4" max="4" width="23.5703125" customWidth="1"/>
    <col min="6" max="6" width="20.42578125" customWidth="1"/>
  </cols>
  <sheetData>
    <row r="9" spans="3:7" ht="18.75" x14ac:dyDescent="0.3">
      <c r="C9" s="12" t="s">
        <v>11</v>
      </c>
      <c r="D9" s="4"/>
    </row>
    <row r="10" spans="3:7" ht="18.75" x14ac:dyDescent="0.3">
      <c r="C10" s="13"/>
      <c r="D10" s="4"/>
    </row>
    <row r="11" spans="3:7" ht="18.75" x14ac:dyDescent="0.3">
      <c r="C11" s="12" t="s">
        <v>12</v>
      </c>
      <c r="D11" s="4"/>
    </row>
    <row r="12" spans="3:7" ht="18.75" x14ac:dyDescent="0.3">
      <c r="C12" s="13"/>
      <c r="D12" s="4"/>
    </row>
    <row r="13" spans="3:7" ht="18.75" x14ac:dyDescent="0.3">
      <c r="C13" s="12" t="s">
        <v>26</v>
      </c>
      <c r="D13" s="4"/>
      <c r="F13" s="12" t="s">
        <v>27</v>
      </c>
      <c r="G13" s="4"/>
    </row>
    <row r="14" spans="3:7" ht="18.75" x14ac:dyDescent="0.3">
      <c r="C14" s="13"/>
      <c r="D14" s="4"/>
      <c r="F14" s="4"/>
      <c r="G14" s="4"/>
    </row>
    <row r="15" spans="3:7" ht="18.75" x14ac:dyDescent="0.3">
      <c r="C15" s="12" t="s">
        <v>17</v>
      </c>
      <c r="D15" s="4"/>
      <c r="F15" s="12" t="s">
        <v>28</v>
      </c>
      <c r="G15" s="4"/>
    </row>
    <row r="16" spans="3:7" ht="18.75" x14ac:dyDescent="0.3">
      <c r="C16" s="13"/>
      <c r="D16" s="4"/>
    </row>
    <row r="17" spans="3:6" ht="18.75" x14ac:dyDescent="0.3">
      <c r="C17" s="12" t="s">
        <v>18</v>
      </c>
      <c r="D17" s="4"/>
    </row>
    <row r="18" spans="3:6" ht="18.75" x14ac:dyDescent="0.3">
      <c r="C18" s="13"/>
      <c r="D18" s="4"/>
    </row>
    <row r="19" spans="3:6" ht="18.75" x14ac:dyDescent="0.3">
      <c r="C19" s="12" t="s">
        <v>13</v>
      </c>
      <c r="D19" s="4"/>
      <c r="F19">
        <f>40/150</f>
        <v>0.26666666666666666</v>
      </c>
    </row>
    <row r="20" spans="3:6" x14ac:dyDescent="0.25">
      <c r="C20" s="4"/>
      <c r="D20" s="4"/>
      <c r="F20">
        <f>90/150</f>
        <v>0.6</v>
      </c>
    </row>
    <row r="21" spans="3:6" ht="18.75" x14ac:dyDescent="0.3">
      <c r="C21" s="12" t="s">
        <v>19</v>
      </c>
      <c r="D21" s="4"/>
    </row>
  </sheetData>
  <dataValidations count="2">
    <dataValidation type="list" allowBlank="1" showInputMessage="1" showErrorMessage="1" sqref="D11" xr:uid="{5D7A6D82-8D7B-4F74-8AD0-3E976510506F}">
      <formula1>"On"</formula1>
    </dataValidation>
    <dataValidation type="list" allowBlank="1" showInputMessage="1" showErrorMessage="1" sqref="D13" xr:uid="{E15EB899-61BB-42AB-A189-11ED8AA0938D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0D6C-F312-43C7-988F-723DEE71D954}">
  <sheetPr codeName="Sheet1"/>
  <dimension ref="A1:AQ1115"/>
  <sheetViews>
    <sheetView tabSelected="1" workbookViewId="0">
      <selection activeCell="A15" sqref="A15"/>
    </sheetView>
  </sheetViews>
  <sheetFormatPr defaultRowHeight="15" x14ac:dyDescent="0.25"/>
  <cols>
    <col min="2" max="2" width="29.85546875" customWidth="1"/>
    <col min="3" max="3" width="18.5703125" customWidth="1"/>
    <col min="5" max="5" width="12.85546875" customWidth="1"/>
    <col min="6" max="6" width="6" customWidth="1"/>
    <col min="7" max="7" width="18.42578125" customWidth="1"/>
    <col min="8" max="8" width="5.42578125" customWidth="1"/>
    <col min="9" max="9" width="13.5703125" customWidth="1"/>
    <col min="10" max="10" width="16.85546875" customWidth="1"/>
  </cols>
  <sheetData>
    <row r="1" spans="1:43" s="7" customFormat="1" ht="39.75" customHeight="1" x14ac:dyDescent="0.25">
      <c r="B1" s="8" t="s">
        <v>9</v>
      </c>
      <c r="C1" s="7">
        <f>BasicValue!D9</f>
        <v>0</v>
      </c>
      <c r="K1" s="9"/>
    </row>
    <row r="2" spans="1:43" s="7" customFormat="1" ht="15.75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>
        <v>1</v>
      </c>
      <c r="G2" s="1" t="s">
        <v>5</v>
      </c>
      <c r="H2" s="1">
        <v>1</v>
      </c>
      <c r="I2" s="1" t="s">
        <v>6</v>
      </c>
      <c r="J2" s="1" t="s">
        <v>7</v>
      </c>
      <c r="K2" s="3" t="s">
        <v>8</v>
      </c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</row>
    <row r="3" spans="1:43" s="7" customFormat="1" x14ac:dyDescent="0.25">
      <c r="A3" s="24"/>
      <c r="B3" s="24"/>
      <c r="C3" s="25" t="s">
        <v>10</v>
      </c>
      <c r="D3" s="26"/>
      <c r="E3" s="26"/>
      <c r="F3" s="5"/>
      <c r="G3" s="5"/>
      <c r="H3" s="5"/>
      <c r="I3" s="5"/>
      <c r="J3" s="5"/>
      <c r="K3" s="6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</row>
    <row r="4" spans="1:43" x14ac:dyDescent="0.25">
      <c r="D4" s="24"/>
      <c r="E4" s="24"/>
    </row>
    <row r="5" spans="1:43" x14ac:dyDescent="0.25">
      <c r="D5" s="24"/>
      <c r="E5" s="24"/>
    </row>
    <row r="6" spans="1:43" x14ac:dyDescent="0.25">
      <c r="D6" s="24"/>
      <c r="E6" s="24"/>
    </row>
    <row r="7" spans="1:43" x14ac:dyDescent="0.25">
      <c r="D7" s="24"/>
      <c r="E7" s="24"/>
    </row>
    <row r="8" spans="1:43" x14ac:dyDescent="0.25">
      <c r="D8" s="24"/>
      <c r="E8" s="24"/>
    </row>
    <row r="9" spans="1:43" x14ac:dyDescent="0.25">
      <c r="D9" s="24"/>
      <c r="E9" s="24"/>
    </row>
    <row r="10" spans="1:43" x14ac:dyDescent="0.25">
      <c r="D10" s="24"/>
      <c r="E10" s="24"/>
    </row>
    <row r="11" spans="1:43" x14ac:dyDescent="0.25">
      <c r="D11" s="24"/>
      <c r="E11" s="24"/>
    </row>
    <row r="12" spans="1:43" x14ac:dyDescent="0.25">
      <c r="D12" s="24"/>
      <c r="E12" s="24"/>
    </row>
    <row r="13" spans="1:43" x14ac:dyDescent="0.25">
      <c r="D13" s="24"/>
      <c r="E13" s="24"/>
    </row>
    <row r="14" spans="1:43" x14ac:dyDescent="0.25">
      <c r="D14" s="24"/>
      <c r="E14" s="24"/>
    </row>
    <row r="15" spans="1:43" x14ac:dyDescent="0.25">
      <c r="D15" s="24"/>
      <c r="E15" s="24"/>
    </row>
    <row r="16" spans="1:43" x14ac:dyDescent="0.25">
      <c r="D16" s="24"/>
      <c r="E16" s="24"/>
    </row>
    <row r="17" spans="4:5" x14ac:dyDescent="0.25">
      <c r="D17" s="24"/>
      <c r="E17" s="24"/>
    </row>
    <row r="18" spans="4:5" x14ac:dyDescent="0.25">
      <c r="D18" s="24"/>
      <c r="E18" s="24"/>
    </row>
    <row r="19" spans="4:5" x14ac:dyDescent="0.25">
      <c r="D19" s="24"/>
      <c r="E19" s="24"/>
    </row>
    <row r="20" spans="4:5" x14ac:dyDescent="0.25">
      <c r="D20" s="24"/>
      <c r="E20" s="24"/>
    </row>
    <row r="21" spans="4:5" x14ac:dyDescent="0.25">
      <c r="D21" s="24"/>
      <c r="E21" s="24"/>
    </row>
    <row r="22" spans="4:5" x14ac:dyDescent="0.25">
      <c r="D22" s="24"/>
      <c r="E22" s="24"/>
    </row>
    <row r="23" spans="4:5" x14ac:dyDescent="0.25">
      <c r="D23" s="24"/>
      <c r="E23" s="24"/>
    </row>
    <row r="24" spans="4:5" x14ac:dyDescent="0.25">
      <c r="D24" s="24"/>
      <c r="E24" s="24"/>
    </row>
    <row r="25" spans="4:5" x14ac:dyDescent="0.25">
      <c r="D25" s="24"/>
      <c r="E25" s="24"/>
    </row>
    <row r="26" spans="4:5" x14ac:dyDescent="0.25">
      <c r="D26" s="24"/>
      <c r="E26" s="24"/>
    </row>
    <row r="27" spans="4:5" x14ac:dyDescent="0.25">
      <c r="D27" s="24"/>
      <c r="E27" s="24"/>
    </row>
    <row r="28" spans="4:5" x14ac:dyDescent="0.25">
      <c r="D28" s="24"/>
      <c r="E28" s="24"/>
    </row>
    <row r="29" spans="4:5" x14ac:dyDescent="0.25">
      <c r="D29" s="24"/>
      <c r="E29" s="24"/>
    </row>
    <row r="30" spans="4:5" x14ac:dyDescent="0.25">
      <c r="D30" s="24"/>
      <c r="E30" s="24"/>
    </row>
    <row r="31" spans="4:5" x14ac:dyDescent="0.25">
      <c r="D31" s="24"/>
      <c r="E31" s="24"/>
    </row>
    <row r="32" spans="4:5" x14ac:dyDescent="0.25">
      <c r="D32" s="24"/>
      <c r="E32" s="24"/>
    </row>
    <row r="33" spans="4:5" x14ac:dyDescent="0.25">
      <c r="D33" s="24"/>
      <c r="E33" s="24"/>
    </row>
    <row r="34" spans="4:5" x14ac:dyDescent="0.25">
      <c r="D34" s="24"/>
      <c r="E34" s="24"/>
    </row>
    <row r="35" spans="4:5" x14ac:dyDescent="0.25">
      <c r="D35" s="24"/>
      <c r="E35" s="24"/>
    </row>
    <row r="36" spans="4:5" x14ac:dyDescent="0.25">
      <c r="D36" s="24"/>
      <c r="E36" s="24"/>
    </row>
    <row r="37" spans="4:5" x14ac:dyDescent="0.25">
      <c r="D37" s="24"/>
      <c r="E37" s="24"/>
    </row>
    <row r="38" spans="4:5" x14ac:dyDescent="0.25">
      <c r="D38" s="24"/>
      <c r="E38" s="24"/>
    </row>
    <row r="39" spans="4:5" x14ac:dyDescent="0.25">
      <c r="D39" s="24"/>
      <c r="E39" s="24"/>
    </row>
    <row r="40" spans="4:5" x14ac:dyDescent="0.25">
      <c r="D40" s="24"/>
      <c r="E40" s="24"/>
    </row>
    <row r="41" spans="4:5" x14ac:dyDescent="0.25">
      <c r="D41" s="24"/>
      <c r="E41" s="24"/>
    </row>
    <row r="42" spans="4:5" x14ac:dyDescent="0.25">
      <c r="D42" s="24"/>
      <c r="E42" s="24"/>
    </row>
    <row r="43" spans="4:5" x14ac:dyDescent="0.25">
      <c r="D43" s="24"/>
      <c r="E43" s="24"/>
    </row>
    <row r="44" spans="4:5" x14ac:dyDescent="0.25">
      <c r="D44" s="24"/>
      <c r="E44" s="24"/>
    </row>
    <row r="45" spans="4:5" x14ac:dyDescent="0.25">
      <c r="D45" s="24"/>
      <c r="E45" s="24"/>
    </row>
    <row r="46" spans="4:5" x14ac:dyDescent="0.25">
      <c r="D46" s="24"/>
      <c r="E46" s="24"/>
    </row>
    <row r="47" spans="4:5" x14ac:dyDescent="0.25">
      <c r="D47" s="24"/>
      <c r="E47" s="24"/>
    </row>
    <row r="48" spans="4:5" x14ac:dyDescent="0.25">
      <c r="D48" s="24"/>
      <c r="E48" s="24"/>
    </row>
    <row r="49" spans="4:5" x14ac:dyDescent="0.25">
      <c r="D49" s="24"/>
      <c r="E49" s="24"/>
    </row>
    <row r="50" spans="4:5" x14ac:dyDescent="0.25">
      <c r="D50" s="24"/>
      <c r="E50" s="24"/>
    </row>
    <row r="51" spans="4:5" x14ac:dyDescent="0.25">
      <c r="D51" s="24"/>
      <c r="E51" s="24"/>
    </row>
    <row r="52" spans="4:5" x14ac:dyDescent="0.25">
      <c r="D52" s="24"/>
      <c r="E52" s="24"/>
    </row>
    <row r="53" spans="4:5" x14ac:dyDescent="0.25">
      <c r="D53" s="24"/>
      <c r="E53" s="24"/>
    </row>
    <row r="54" spans="4:5" x14ac:dyDescent="0.25">
      <c r="D54" s="24"/>
      <c r="E54" s="24"/>
    </row>
    <row r="55" spans="4:5" x14ac:dyDescent="0.25">
      <c r="D55" s="24"/>
      <c r="E55" s="24"/>
    </row>
    <row r="56" spans="4:5" x14ac:dyDescent="0.25">
      <c r="D56" s="24"/>
      <c r="E56" s="24"/>
    </row>
    <row r="57" spans="4:5" x14ac:dyDescent="0.25">
      <c r="D57" s="24"/>
      <c r="E57" s="24"/>
    </row>
    <row r="58" spans="4:5" x14ac:dyDescent="0.25">
      <c r="D58" s="24"/>
      <c r="E58" s="24"/>
    </row>
    <row r="59" spans="4:5" x14ac:dyDescent="0.25">
      <c r="D59" s="24"/>
      <c r="E59" s="24"/>
    </row>
    <row r="60" spans="4:5" x14ac:dyDescent="0.25">
      <c r="D60" s="24"/>
      <c r="E60" s="24"/>
    </row>
    <row r="61" spans="4:5" x14ac:dyDescent="0.25">
      <c r="D61" s="24"/>
      <c r="E61" s="24"/>
    </row>
    <row r="62" spans="4:5" x14ac:dyDescent="0.25">
      <c r="D62" s="24"/>
      <c r="E62" s="24"/>
    </row>
    <row r="63" spans="4:5" x14ac:dyDescent="0.25">
      <c r="D63" s="24"/>
      <c r="E63" s="24"/>
    </row>
    <row r="64" spans="4:5" x14ac:dyDescent="0.25">
      <c r="D64" s="24"/>
      <c r="E64" s="24"/>
    </row>
    <row r="65" spans="4:5" x14ac:dyDescent="0.25">
      <c r="D65" s="24"/>
      <c r="E65" s="24"/>
    </row>
    <row r="66" spans="4:5" x14ac:dyDescent="0.25">
      <c r="D66" s="24"/>
      <c r="E66" s="24"/>
    </row>
    <row r="67" spans="4:5" x14ac:dyDescent="0.25">
      <c r="D67" s="24"/>
      <c r="E67" s="24"/>
    </row>
    <row r="68" spans="4:5" x14ac:dyDescent="0.25">
      <c r="D68" s="24"/>
      <c r="E68" s="24"/>
    </row>
    <row r="69" spans="4:5" x14ac:dyDescent="0.25">
      <c r="D69" s="24"/>
      <c r="E69" s="24"/>
    </row>
    <row r="70" spans="4:5" x14ac:dyDescent="0.25">
      <c r="D70" s="24"/>
      <c r="E70" s="24"/>
    </row>
    <row r="71" spans="4:5" x14ac:dyDescent="0.25">
      <c r="D71" s="24"/>
      <c r="E71" s="24"/>
    </row>
    <row r="72" spans="4:5" x14ac:dyDescent="0.25">
      <c r="D72" s="24"/>
      <c r="E72" s="24"/>
    </row>
    <row r="73" spans="4:5" x14ac:dyDescent="0.25">
      <c r="D73" s="24"/>
      <c r="E73" s="24"/>
    </row>
    <row r="74" spans="4:5" x14ac:dyDescent="0.25">
      <c r="D74" s="24"/>
      <c r="E74" s="24"/>
    </row>
    <row r="75" spans="4:5" x14ac:dyDescent="0.25">
      <c r="D75" s="24"/>
      <c r="E75" s="24"/>
    </row>
    <row r="76" spans="4:5" x14ac:dyDescent="0.25">
      <c r="D76" s="24"/>
      <c r="E76" s="24"/>
    </row>
    <row r="77" spans="4:5" x14ac:dyDescent="0.25">
      <c r="D77" s="24"/>
      <c r="E77" s="24"/>
    </row>
    <row r="78" spans="4:5" x14ac:dyDescent="0.25">
      <c r="D78" s="24"/>
      <c r="E78" s="24"/>
    </row>
    <row r="79" spans="4:5" x14ac:dyDescent="0.25">
      <c r="D79" s="24"/>
      <c r="E79" s="24"/>
    </row>
    <row r="80" spans="4:5" x14ac:dyDescent="0.25">
      <c r="D80" s="24"/>
      <c r="E80" s="24"/>
    </row>
    <row r="81" spans="4:5" x14ac:dyDescent="0.25">
      <c r="D81" s="24"/>
      <c r="E81" s="24"/>
    </row>
    <row r="82" spans="4:5" x14ac:dyDescent="0.25">
      <c r="D82" s="24"/>
      <c r="E82" s="24"/>
    </row>
    <row r="83" spans="4:5" x14ac:dyDescent="0.25">
      <c r="D83" s="24"/>
      <c r="E83" s="24"/>
    </row>
    <row r="84" spans="4:5" x14ac:dyDescent="0.25">
      <c r="D84" s="24"/>
      <c r="E84" s="24"/>
    </row>
    <row r="85" spans="4:5" x14ac:dyDescent="0.25">
      <c r="D85" s="24"/>
      <c r="E85" s="24"/>
    </row>
    <row r="86" spans="4:5" x14ac:dyDescent="0.25">
      <c r="D86" s="24"/>
      <c r="E86" s="24"/>
    </row>
    <row r="87" spans="4:5" x14ac:dyDescent="0.25">
      <c r="D87" s="24"/>
      <c r="E87" s="24"/>
    </row>
    <row r="88" spans="4:5" x14ac:dyDescent="0.25">
      <c r="D88" s="24"/>
      <c r="E88" s="24"/>
    </row>
    <row r="89" spans="4:5" x14ac:dyDescent="0.25">
      <c r="D89" s="24"/>
      <c r="E89" s="24"/>
    </row>
    <row r="90" spans="4:5" x14ac:dyDescent="0.25">
      <c r="D90" s="24"/>
      <c r="E90" s="24"/>
    </row>
    <row r="91" spans="4:5" x14ac:dyDescent="0.25">
      <c r="D91" s="24"/>
      <c r="E91" s="24"/>
    </row>
    <row r="92" spans="4:5" x14ac:dyDescent="0.25">
      <c r="D92" s="24"/>
      <c r="E92" s="24"/>
    </row>
    <row r="93" spans="4:5" x14ac:dyDescent="0.25">
      <c r="D93" s="24"/>
      <c r="E93" s="24"/>
    </row>
    <row r="94" spans="4:5" x14ac:dyDescent="0.25">
      <c r="D94" s="24"/>
      <c r="E94" s="24"/>
    </row>
    <row r="95" spans="4:5" x14ac:dyDescent="0.25">
      <c r="D95" s="24"/>
      <c r="E95" s="24"/>
    </row>
    <row r="96" spans="4:5" x14ac:dyDescent="0.25">
      <c r="D96" s="24"/>
      <c r="E96" s="24"/>
    </row>
    <row r="97" spans="4:5" x14ac:dyDescent="0.25">
      <c r="D97" s="24"/>
      <c r="E97" s="24"/>
    </row>
    <row r="98" spans="4:5" x14ac:dyDescent="0.25">
      <c r="D98" s="24"/>
      <c r="E98" s="24"/>
    </row>
    <row r="99" spans="4:5" x14ac:dyDescent="0.25">
      <c r="D99" s="24"/>
      <c r="E99" s="24"/>
    </row>
    <row r="100" spans="4:5" x14ac:dyDescent="0.25">
      <c r="D100" s="24"/>
      <c r="E100" s="24"/>
    </row>
    <row r="101" spans="4:5" x14ac:dyDescent="0.25">
      <c r="D101" s="24"/>
      <c r="E101" s="24"/>
    </row>
    <row r="102" spans="4:5" x14ac:dyDescent="0.25">
      <c r="D102" s="24"/>
      <c r="E102" s="24"/>
    </row>
    <row r="103" spans="4:5" x14ac:dyDescent="0.25">
      <c r="D103" s="24"/>
      <c r="E103" s="24"/>
    </row>
    <row r="104" spans="4:5" x14ac:dyDescent="0.25">
      <c r="D104" s="24"/>
      <c r="E104" s="24"/>
    </row>
    <row r="105" spans="4:5" x14ac:dyDescent="0.25">
      <c r="D105" s="24"/>
      <c r="E105" s="24"/>
    </row>
    <row r="106" spans="4:5" x14ac:dyDescent="0.25">
      <c r="D106" s="24"/>
      <c r="E106" s="24"/>
    </row>
    <row r="107" spans="4:5" x14ac:dyDescent="0.25">
      <c r="D107" s="24"/>
      <c r="E107" s="24"/>
    </row>
    <row r="108" spans="4:5" x14ac:dyDescent="0.25">
      <c r="D108" s="24"/>
      <c r="E108" s="24"/>
    </row>
    <row r="109" spans="4:5" x14ac:dyDescent="0.25">
      <c r="D109" s="24"/>
      <c r="E109" s="24"/>
    </row>
    <row r="110" spans="4:5" x14ac:dyDescent="0.25">
      <c r="D110" s="24"/>
      <c r="E110" s="24"/>
    </row>
    <row r="111" spans="4:5" x14ac:dyDescent="0.25">
      <c r="D111" s="24"/>
      <c r="E111" s="24"/>
    </row>
    <row r="112" spans="4:5" x14ac:dyDescent="0.25">
      <c r="D112" s="24"/>
      <c r="E112" s="24"/>
    </row>
    <row r="113" spans="4:5" x14ac:dyDescent="0.25">
      <c r="D113" s="24"/>
      <c r="E113" s="24"/>
    </row>
    <row r="114" spans="4:5" x14ac:dyDescent="0.25">
      <c r="D114" s="24"/>
      <c r="E114" s="24"/>
    </row>
    <row r="115" spans="4:5" x14ac:dyDescent="0.25">
      <c r="D115" s="24"/>
      <c r="E115" s="24"/>
    </row>
    <row r="116" spans="4:5" x14ac:dyDescent="0.25">
      <c r="D116" s="24"/>
      <c r="E116" s="24"/>
    </row>
    <row r="117" spans="4:5" x14ac:dyDescent="0.25">
      <c r="D117" s="24"/>
      <c r="E117" s="24"/>
    </row>
    <row r="118" spans="4:5" x14ac:dyDescent="0.25">
      <c r="D118" s="24"/>
      <c r="E118" s="24"/>
    </row>
    <row r="119" spans="4:5" x14ac:dyDescent="0.25">
      <c r="D119" s="24"/>
      <c r="E119" s="24"/>
    </row>
    <row r="120" spans="4:5" x14ac:dyDescent="0.25">
      <c r="D120" s="24"/>
      <c r="E120" s="24"/>
    </row>
    <row r="121" spans="4:5" x14ac:dyDescent="0.25">
      <c r="D121" s="24"/>
      <c r="E121" s="24"/>
    </row>
    <row r="122" spans="4:5" x14ac:dyDescent="0.25">
      <c r="D122" s="24"/>
      <c r="E122" s="24"/>
    </row>
    <row r="123" spans="4:5" x14ac:dyDescent="0.25">
      <c r="D123" s="24"/>
      <c r="E123" s="24"/>
    </row>
    <row r="124" spans="4:5" x14ac:dyDescent="0.25">
      <c r="D124" s="24"/>
      <c r="E124" s="24"/>
    </row>
    <row r="125" spans="4:5" x14ac:dyDescent="0.25">
      <c r="D125" s="24"/>
      <c r="E125" s="24"/>
    </row>
    <row r="126" spans="4:5" x14ac:dyDescent="0.25">
      <c r="D126" s="24"/>
      <c r="E126" s="24"/>
    </row>
    <row r="127" spans="4:5" x14ac:dyDescent="0.25">
      <c r="D127" s="24"/>
      <c r="E127" s="24"/>
    </row>
    <row r="128" spans="4:5" x14ac:dyDescent="0.25">
      <c r="D128" s="24"/>
      <c r="E128" s="24"/>
    </row>
    <row r="129" spans="4:5" x14ac:dyDescent="0.25">
      <c r="D129" s="24"/>
      <c r="E129" s="24"/>
    </row>
    <row r="130" spans="4:5" x14ac:dyDescent="0.25">
      <c r="D130" s="24"/>
      <c r="E130" s="24"/>
    </row>
    <row r="131" spans="4:5" x14ac:dyDescent="0.25">
      <c r="D131" s="24"/>
      <c r="E131" s="24"/>
    </row>
    <row r="132" spans="4:5" x14ac:dyDescent="0.25">
      <c r="D132" s="24"/>
      <c r="E132" s="24"/>
    </row>
    <row r="133" spans="4:5" x14ac:dyDescent="0.25">
      <c r="D133" s="24"/>
      <c r="E133" s="24"/>
    </row>
    <row r="134" spans="4:5" x14ac:dyDescent="0.25">
      <c r="D134" s="24"/>
      <c r="E134" s="24"/>
    </row>
    <row r="135" spans="4:5" x14ac:dyDescent="0.25">
      <c r="D135" s="24"/>
      <c r="E135" s="24"/>
    </row>
    <row r="136" spans="4:5" x14ac:dyDescent="0.25">
      <c r="D136" s="24"/>
      <c r="E136" s="24"/>
    </row>
    <row r="137" spans="4:5" x14ac:dyDescent="0.25">
      <c r="D137" s="24"/>
      <c r="E137" s="24"/>
    </row>
    <row r="138" spans="4:5" x14ac:dyDescent="0.25">
      <c r="D138" s="24"/>
      <c r="E138" s="24"/>
    </row>
    <row r="139" spans="4:5" x14ac:dyDescent="0.25">
      <c r="D139" s="24"/>
      <c r="E139" s="24"/>
    </row>
    <row r="140" spans="4:5" x14ac:dyDescent="0.25">
      <c r="D140" s="24"/>
      <c r="E140" s="24"/>
    </row>
    <row r="141" spans="4:5" x14ac:dyDescent="0.25">
      <c r="D141" s="24"/>
      <c r="E141" s="24"/>
    </row>
    <row r="142" spans="4:5" x14ac:dyDescent="0.25">
      <c r="D142" s="24"/>
      <c r="E142" s="24"/>
    </row>
    <row r="143" spans="4:5" x14ac:dyDescent="0.25">
      <c r="D143" s="24"/>
      <c r="E143" s="24"/>
    </row>
    <row r="144" spans="4:5" x14ac:dyDescent="0.25">
      <c r="D144" s="24"/>
      <c r="E144" s="24"/>
    </row>
    <row r="145" spans="4:5" x14ac:dyDescent="0.25">
      <c r="D145" s="24"/>
      <c r="E145" s="24"/>
    </row>
    <row r="146" spans="4:5" x14ac:dyDescent="0.25">
      <c r="D146" s="24"/>
      <c r="E146" s="24"/>
    </row>
    <row r="147" spans="4:5" x14ac:dyDescent="0.25">
      <c r="D147" s="24"/>
      <c r="E147" s="24"/>
    </row>
    <row r="148" spans="4:5" x14ac:dyDescent="0.25">
      <c r="D148" s="24"/>
      <c r="E148" s="24"/>
    </row>
    <row r="149" spans="4:5" x14ac:dyDescent="0.25">
      <c r="D149" s="24"/>
      <c r="E149" s="24"/>
    </row>
    <row r="150" spans="4:5" x14ac:dyDescent="0.25">
      <c r="D150" s="24"/>
      <c r="E150" s="24"/>
    </row>
    <row r="151" spans="4:5" x14ac:dyDescent="0.25">
      <c r="D151" s="24"/>
      <c r="E151" s="24"/>
    </row>
    <row r="152" spans="4:5" x14ac:dyDescent="0.25">
      <c r="D152" s="24"/>
      <c r="E152" s="24"/>
    </row>
    <row r="153" spans="4:5" x14ac:dyDescent="0.25">
      <c r="D153" s="24"/>
      <c r="E153" s="24"/>
    </row>
    <row r="154" spans="4:5" x14ac:dyDescent="0.25">
      <c r="D154" s="24"/>
      <c r="E154" s="24"/>
    </row>
    <row r="155" spans="4:5" x14ac:dyDescent="0.25">
      <c r="D155" s="24"/>
      <c r="E155" s="24"/>
    </row>
    <row r="156" spans="4:5" x14ac:dyDescent="0.25">
      <c r="D156" s="24"/>
      <c r="E156" s="24"/>
    </row>
    <row r="157" spans="4:5" x14ac:dyDescent="0.25">
      <c r="D157" s="24"/>
      <c r="E157" s="24"/>
    </row>
    <row r="158" spans="4:5" x14ac:dyDescent="0.25">
      <c r="D158" s="24"/>
      <c r="E158" s="24"/>
    </row>
    <row r="159" spans="4:5" x14ac:dyDescent="0.25">
      <c r="D159" s="24"/>
      <c r="E159" s="24"/>
    </row>
    <row r="160" spans="4:5" x14ac:dyDescent="0.25">
      <c r="D160" s="24"/>
      <c r="E160" s="24"/>
    </row>
    <row r="161" spans="4:5" x14ac:dyDescent="0.25">
      <c r="D161" s="24"/>
      <c r="E161" s="24"/>
    </row>
    <row r="162" spans="4:5" x14ac:dyDescent="0.25">
      <c r="D162" s="24"/>
      <c r="E162" s="24"/>
    </row>
    <row r="163" spans="4:5" x14ac:dyDescent="0.25">
      <c r="D163" s="24"/>
      <c r="E163" s="24"/>
    </row>
    <row r="164" spans="4:5" x14ac:dyDescent="0.25">
      <c r="D164" s="24"/>
      <c r="E164" s="24"/>
    </row>
    <row r="165" spans="4:5" x14ac:dyDescent="0.25">
      <c r="D165" s="24"/>
      <c r="E165" s="24"/>
    </row>
    <row r="166" spans="4:5" x14ac:dyDescent="0.25">
      <c r="D166" s="24"/>
      <c r="E166" s="24"/>
    </row>
    <row r="167" spans="4:5" x14ac:dyDescent="0.25">
      <c r="D167" s="24"/>
      <c r="E167" s="24"/>
    </row>
    <row r="168" spans="4:5" x14ac:dyDescent="0.25">
      <c r="D168" s="24"/>
      <c r="E168" s="24"/>
    </row>
    <row r="169" spans="4:5" x14ac:dyDescent="0.25">
      <c r="D169" s="24"/>
      <c r="E169" s="24"/>
    </row>
    <row r="170" spans="4:5" x14ac:dyDescent="0.25">
      <c r="D170" s="24"/>
      <c r="E170" s="24"/>
    </row>
    <row r="171" spans="4:5" x14ac:dyDescent="0.25">
      <c r="D171" s="24"/>
      <c r="E171" s="24"/>
    </row>
    <row r="172" spans="4:5" x14ac:dyDescent="0.25">
      <c r="D172" s="24"/>
      <c r="E172" s="24"/>
    </row>
    <row r="173" spans="4:5" x14ac:dyDescent="0.25">
      <c r="D173" s="24"/>
      <c r="E173" s="24"/>
    </row>
    <row r="174" spans="4:5" x14ac:dyDescent="0.25">
      <c r="D174" s="24"/>
      <c r="E174" s="24"/>
    </row>
    <row r="175" spans="4:5" x14ac:dyDescent="0.25">
      <c r="D175" s="24"/>
      <c r="E175" s="24"/>
    </row>
    <row r="176" spans="4:5" x14ac:dyDescent="0.25">
      <c r="D176" s="24"/>
      <c r="E176" s="24"/>
    </row>
    <row r="177" spans="4:5" x14ac:dyDescent="0.25">
      <c r="D177" s="24"/>
      <c r="E177" s="24"/>
    </row>
    <row r="178" spans="4:5" x14ac:dyDescent="0.25">
      <c r="D178" s="24"/>
      <c r="E178" s="24"/>
    </row>
    <row r="179" spans="4:5" x14ac:dyDescent="0.25">
      <c r="D179" s="24"/>
      <c r="E179" s="24"/>
    </row>
    <row r="180" spans="4:5" x14ac:dyDescent="0.25">
      <c r="D180" s="24"/>
      <c r="E180" s="24"/>
    </row>
    <row r="181" spans="4:5" x14ac:dyDescent="0.25">
      <c r="D181" s="24"/>
      <c r="E181" s="24"/>
    </row>
    <row r="182" spans="4:5" x14ac:dyDescent="0.25">
      <c r="D182" s="24"/>
      <c r="E182" s="24"/>
    </row>
    <row r="183" spans="4:5" x14ac:dyDescent="0.25">
      <c r="D183" s="24"/>
      <c r="E183" s="24"/>
    </row>
    <row r="184" spans="4:5" x14ac:dyDescent="0.25">
      <c r="D184" s="24"/>
      <c r="E184" s="24"/>
    </row>
    <row r="185" spans="4:5" x14ac:dyDescent="0.25">
      <c r="D185" s="24"/>
      <c r="E185" s="24"/>
    </row>
    <row r="186" spans="4:5" x14ac:dyDescent="0.25">
      <c r="D186" s="24"/>
      <c r="E186" s="24"/>
    </row>
    <row r="187" spans="4:5" x14ac:dyDescent="0.25">
      <c r="D187" s="24"/>
      <c r="E187" s="24"/>
    </row>
    <row r="188" spans="4:5" x14ac:dyDescent="0.25">
      <c r="D188" s="24"/>
      <c r="E188" s="24"/>
    </row>
    <row r="189" spans="4:5" x14ac:dyDescent="0.25">
      <c r="D189" s="24"/>
      <c r="E189" s="24"/>
    </row>
    <row r="190" spans="4:5" x14ac:dyDescent="0.25">
      <c r="D190" s="24"/>
      <c r="E190" s="24"/>
    </row>
    <row r="191" spans="4:5" x14ac:dyDescent="0.25">
      <c r="D191" s="24"/>
      <c r="E191" s="24"/>
    </row>
    <row r="192" spans="4:5" x14ac:dyDescent="0.25">
      <c r="D192" s="24"/>
      <c r="E192" s="24"/>
    </row>
    <row r="193" spans="4:5" x14ac:dyDescent="0.25">
      <c r="D193" s="24"/>
      <c r="E193" s="24"/>
    </row>
    <row r="194" spans="4:5" x14ac:dyDescent="0.25">
      <c r="D194" s="24"/>
      <c r="E194" s="24"/>
    </row>
    <row r="195" spans="4:5" x14ac:dyDescent="0.25">
      <c r="D195" s="24"/>
      <c r="E195" s="24"/>
    </row>
    <row r="196" spans="4:5" x14ac:dyDescent="0.25">
      <c r="D196" s="24"/>
      <c r="E196" s="24"/>
    </row>
    <row r="197" spans="4:5" x14ac:dyDescent="0.25">
      <c r="D197" s="24"/>
      <c r="E197" s="24"/>
    </row>
    <row r="198" spans="4:5" x14ac:dyDescent="0.25">
      <c r="D198" s="24"/>
      <c r="E198" s="24"/>
    </row>
    <row r="199" spans="4:5" x14ac:dyDescent="0.25">
      <c r="D199" s="24"/>
      <c r="E199" s="24"/>
    </row>
    <row r="200" spans="4:5" x14ac:dyDescent="0.25">
      <c r="D200" s="24"/>
      <c r="E200" s="24"/>
    </row>
    <row r="201" spans="4:5" x14ac:dyDescent="0.25">
      <c r="D201" s="24"/>
      <c r="E201" s="24"/>
    </row>
    <row r="202" spans="4:5" x14ac:dyDescent="0.25">
      <c r="D202" s="24"/>
      <c r="E202" s="24"/>
    </row>
    <row r="203" spans="4:5" x14ac:dyDescent="0.25">
      <c r="D203" s="24"/>
      <c r="E203" s="24"/>
    </row>
    <row r="204" spans="4:5" x14ac:dyDescent="0.25">
      <c r="D204" s="24"/>
      <c r="E204" s="24"/>
    </row>
    <row r="205" spans="4:5" x14ac:dyDescent="0.25">
      <c r="D205" s="24"/>
      <c r="E205" s="24"/>
    </row>
    <row r="206" spans="4:5" x14ac:dyDescent="0.25">
      <c r="D206" s="24"/>
      <c r="E206" s="24"/>
    </row>
    <row r="207" spans="4:5" x14ac:dyDescent="0.25">
      <c r="D207" s="24"/>
      <c r="E207" s="24"/>
    </row>
    <row r="208" spans="4:5" x14ac:dyDescent="0.25">
      <c r="D208" s="24"/>
      <c r="E208" s="24"/>
    </row>
    <row r="209" spans="4:5" x14ac:dyDescent="0.25">
      <c r="D209" s="24"/>
      <c r="E209" s="24"/>
    </row>
    <row r="210" spans="4:5" x14ac:dyDescent="0.25">
      <c r="D210" s="24"/>
      <c r="E210" s="24"/>
    </row>
    <row r="211" spans="4:5" x14ac:dyDescent="0.25">
      <c r="D211" s="24"/>
      <c r="E211" s="24"/>
    </row>
    <row r="212" spans="4:5" x14ac:dyDescent="0.25">
      <c r="D212" s="24"/>
      <c r="E212" s="24"/>
    </row>
    <row r="213" spans="4:5" x14ac:dyDescent="0.25">
      <c r="D213" s="24"/>
      <c r="E213" s="24"/>
    </row>
    <row r="214" spans="4:5" x14ac:dyDescent="0.25">
      <c r="D214" s="24"/>
      <c r="E214" s="24"/>
    </row>
    <row r="215" spans="4:5" x14ac:dyDescent="0.25">
      <c r="D215" s="24"/>
      <c r="E215" s="24"/>
    </row>
    <row r="216" spans="4:5" x14ac:dyDescent="0.25">
      <c r="D216" s="24"/>
      <c r="E216" s="24"/>
    </row>
    <row r="217" spans="4:5" x14ac:dyDescent="0.25">
      <c r="D217" s="24"/>
      <c r="E217" s="24"/>
    </row>
    <row r="218" spans="4:5" x14ac:dyDescent="0.25">
      <c r="D218" s="24"/>
      <c r="E218" s="24"/>
    </row>
    <row r="219" spans="4:5" x14ac:dyDescent="0.25">
      <c r="D219" s="24"/>
      <c r="E219" s="24"/>
    </row>
    <row r="220" spans="4:5" x14ac:dyDescent="0.25">
      <c r="D220" s="24"/>
      <c r="E220" s="24"/>
    </row>
    <row r="221" spans="4:5" x14ac:dyDescent="0.25">
      <c r="D221" s="24"/>
      <c r="E221" s="24"/>
    </row>
    <row r="222" spans="4:5" x14ac:dyDescent="0.25">
      <c r="D222" s="24"/>
      <c r="E222" s="24"/>
    </row>
    <row r="223" spans="4:5" x14ac:dyDescent="0.25">
      <c r="D223" s="24"/>
      <c r="E223" s="24"/>
    </row>
    <row r="224" spans="4:5" x14ac:dyDescent="0.25">
      <c r="D224" s="24"/>
      <c r="E224" s="24"/>
    </row>
    <row r="225" spans="4:5" x14ac:dyDescent="0.25">
      <c r="D225" s="24"/>
      <c r="E225" s="24"/>
    </row>
    <row r="226" spans="4:5" x14ac:dyDescent="0.25">
      <c r="D226" s="24"/>
      <c r="E226" s="24"/>
    </row>
    <row r="227" spans="4:5" x14ac:dyDescent="0.25">
      <c r="D227" s="24"/>
      <c r="E227" s="24"/>
    </row>
    <row r="228" spans="4:5" x14ac:dyDescent="0.25">
      <c r="D228" s="24"/>
      <c r="E228" s="24"/>
    </row>
    <row r="229" spans="4:5" x14ac:dyDescent="0.25">
      <c r="D229" s="24"/>
      <c r="E229" s="24"/>
    </row>
    <row r="230" spans="4:5" x14ac:dyDescent="0.25">
      <c r="D230" s="24"/>
      <c r="E230" s="24"/>
    </row>
    <row r="231" spans="4:5" x14ac:dyDescent="0.25">
      <c r="D231" s="24"/>
      <c r="E231" s="24"/>
    </row>
    <row r="232" spans="4:5" x14ac:dyDescent="0.25">
      <c r="D232" s="24"/>
      <c r="E232" s="24"/>
    </row>
    <row r="233" spans="4:5" x14ac:dyDescent="0.25">
      <c r="D233" s="24"/>
      <c r="E233" s="24"/>
    </row>
    <row r="234" spans="4:5" x14ac:dyDescent="0.25">
      <c r="D234" s="24"/>
      <c r="E234" s="24"/>
    </row>
    <row r="235" spans="4:5" x14ac:dyDescent="0.25">
      <c r="D235" s="24"/>
      <c r="E235" s="24"/>
    </row>
    <row r="236" spans="4:5" x14ac:dyDescent="0.25">
      <c r="D236" s="24"/>
      <c r="E236" s="24"/>
    </row>
    <row r="237" spans="4:5" x14ac:dyDescent="0.25">
      <c r="D237" s="24"/>
      <c r="E237" s="24"/>
    </row>
    <row r="238" spans="4:5" x14ac:dyDescent="0.25">
      <c r="D238" s="24"/>
      <c r="E238" s="24"/>
    </row>
    <row r="239" spans="4:5" x14ac:dyDescent="0.25">
      <c r="D239" s="24"/>
      <c r="E239" s="24"/>
    </row>
    <row r="240" spans="4:5" x14ac:dyDescent="0.25">
      <c r="D240" s="24"/>
      <c r="E240" s="24"/>
    </row>
    <row r="241" spans="4:5" x14ac:dyDescent="0.25">
      <c r="D241" s="24"/>
      <c r="E241" s="24"/>
    </row>
    <row r="242" spans="4:5" x14ac:dyDescent="0.25">
      <c r="D242" s="24"/>
      <c r="E242" s="24"/>
    </row>
    <row r="243" spans="4:5" x14ac:dyDescent="0.25">
      <c r="D243" s="24"/>
      <c r="E243" s="24"/>
    </row>
    <row r="244" spans="4:5" x14ac:dyDescent="0.25">
      <c r="D244" s="24"/>
      <c r="E244" s="24"/>
    </row>
    <row r="245" spans="4:5" x14ac:dyDescent="0.25">
      <c r="D245" s="24"/>
      <c r="E245" s="24"/>
    </row>
    <row r="246" spans="4:5" x14ac:dyDescent="0.25">
      <c r="D246" s="24"/>
      <c r="E246" s="24"/>
    </row>
    <row r="247" spans="4:5" x14ac:dyDescent="0.25">
      <c r="D247" s="24"/>
      <c r="E247" s="24"/>
    </row>
    <row r="248" spans="4:5" x14ac:dyDescent="0.25">
      <c r="D248" s="24"/>
      <c r="E248" s="24"/>
    </row>
    <row r="249" spans="4:5" x14ac:dyDescent="0.25">
      <c r="D249" s="24"/>
      <c r="E249" s="24"/>
    </row>
    <row r="250" spans="4:5" x14ac:dyDescent="0.25">
      <c r="D250" s="24"/>
      <c r="E250" s="24"/>
    </row>
    <row r="251" spans="4:5" x14ac:dyDescent="0.25">
      <c r="D251" s="24"/>
      <c r="E251" s="24"/>
    </row>
    <row r="252" spans="4:5" x14ac:dyDescent="0.25">
      <c r="D252" s="24"/>
      <c r="E252" s="24"/>
    </row>
    <row r="253" spans="4:5" x14ac:dyDescent="0.25">
      <c r="D253" s="24"/>
      <c r="E253" s="24"/>
    </row>
    <row r="254" spans="4:5" x14ac:dyDescent="0.25">
      <c r="D254" s="24"/>
      <c r="E254" s="24"/>
    </row>
    <row r="255" spans="4:5" x14ac:dyDescent="0.25">
      <c r="D255" s="24"/>
      <c r="E255" s="24"/>
    </row>
    <row r="256" spans="4:5" x14ac:dyDescent="0.25">
      <c r="D256" s="24"/>
      <c r="E256" s="24"/>
    </row>
    <row r="257" spans="4:5" x14ac:dyDescent="0.25">
      <c r="D257" s="24"/>
      <c r="E257" s="24"/>
    </row>
    <row r="258" spans="4:5" x14ac:dyDescent="0.25">
      <c r="D258" s="24"/>
      <c r="E258" s="24"/>
    </row>
    <row r="259" spans="4:5" x14ac:dyDescent="0.25">
      <c r="D259" s="24"/>
      <c r="E259" s="24"/>
    </row>
    <row r="260" spans="4:5" x14ac:dyDescent="0.25">
      <c r="D260" s="24"/>
      <c r="E260" s="24"/>
    </row>
    <row r="261" spans="4:5" x14ac:dyDescent="0.25">
      <c r="D261" s="24"/>
      <c r="E261" s="24"/>
    </row>
    <row r="262" spans="4:5" x14ac:dyDescent="0.25">
      <c r="D262" s="24"/>
      <c r="E262" s="24"/>
    </row>
    <row r="263" spans="4:5" x14ac:dyDescent="0.25">
      <c r="D263" s="24"/>
      <c r="E263" s="24"/>
    </row>
    <row r="264" spans="4:5" x14ac:dyDescent="0.25">
      <c r="D264" s="24"/>
      <c r="E264" s="24"/>
    </row>
    <row r="265" spans="4:5" x14ac:dyDescent="0.25">
      <c r="D265" s="24"/>
      <c r="E265" s="24"/>
    </row>
    <row r="266" spans="4:5" x14ac:dyDescent="0.25">
      <c r="D266" s="24"/>
      <c r="E266" s="24"/>
    </row>
    <row r="267" spans="4:5" x14ac:dyDescent="0.25">
      <c r="D267" s="24"/>
      <c r="E267" s="24"/>
    </row>
    <row r="268" spans="4:5" x14ac:dyDescent="0.25">
      <c r="D268" s="24"/>
      <c r="E268" s="24"/>
    </row>
    <row r="269" spans="4:5" x14ac:dyDescent="0.25">
      <c r="D269" s="24"/>
      <c r="E269" s="24"/>
    </row>
    <row r="270" spans="4:5" x14ac:dyDescent="0.25">
      <c r="D270" s="24"/>
      <c r="E270" s="24"/>
    </row>
    <row r="271" spans="4:5" x14ac:dyDescent="0.25">
      <c r="D271" s="24"/>
      <c r="E271" s="24"/>
    </row>
    <row r="272" spans="4:5" x14ac:dyDescent="0.25">
      <c r="D272" s="24"/>
      <c r="E272" s="24"/>
    </row>
    <row r="273" spans="4:5" x14ac:dyDescent="0.25">
      <c r="D273" s="24"/>
      <c r="E273" s="24"/>
    </row>
    <row r="274" spans="4:5" x14ac:dyDescent="0.25">
      <c r="D274" s="24"/>
      <c r="E274" s="24"/>
    </row>
    <row r="275" spans="4:5" x14ac:dyDescent="0.25">
      <c r="D275" s="24"/>
      <c r="E275" s="24"/>
    </row>
    <row r="276" spans="4:5" x14ac:dyDescent="0.25">
      <c r="D276" s="24"/>
      <c r="E276" s="24"/>
    </row>
    <row r="277" spans="4:5" x14ac:dyDescent="0.25">
      <c r="D277" s="24"/>
      <c r="E277" s="24"/>
    </row>
    <row r="278" spans="4:5" x14ac:dyDescent="0.25">
      <c r="D278" s="24"/>
      <c r="E278" s="24"/>
    </row>
    <row r="279" spans="4:5" x14ac:dyDescent="0.25">
      <c r="D279" s="24"/>
      <c r="E279" s="24"/>
    </row>
    <row r="280" spans="4:5" x14ac:dyDescent="0.25">
      <c r="D280" s="24"/>
      <c r="E280" s="24"/>
    </row>
    <row r="281" spans="4:5" x14ac:dyDescent="0.25">
      <c r="D281" s="24"/>
      <c r="E281" s="24"/>
    </row>
    <row r="282" spans="4:5" x14ac:dyDescent="0.25">
      <c r="D282" s="24"/>
      <c r="E282" s="24"/>
    </row>
    <row r="283" spans="4:5" x14ac:dyDescent="0.25">
      <c r="D283" s="24"/>
      <c r="E283" s="24"/>
    </row>
    <row r="284" spans="4:5" x14ac:dyDescent="0.25">
      <c r="D284" s="24"/>
      <c r="E284" s="24"/>
    </row>
    <row r="285" spans="4:5" x14ac:dyDescent="0.25">
      <c r="D285" s="24"/>
      <c r="E285" s="24"/>
    </row>
    <row r="286" spans="4:5" x14ac:dyDescent="0.25">
      <c r="D286" s="24"/>
      <c r="E286" s="24"/>
    </row>
    <row r="287" spans="4:5" x14ac:dyDescent="0.25">
      <c r="D287" s="24"/>
      <c r="E287" s="24"/>
    </row>
    <row r="288" spans="4:5" x14ac:dyDescent="0.25">
      <c r="D288" s="24"/>
      <c r="E288" s="24"/>
    </row>
    <row r="289" spans="4:5" x14ac:dyDescent="0.25">
      <c r="D289" s="24"/>
      <c r="E289" s="24"/>
    </row>
    <row r="290" spans="4:5" x14ac:dyDescent="0.25">
      <c r="D290" s="24"/>
      <c r="E290" s="24"/>
    </row>
    <row r="291" spans="4:5" x14ac:dyDescent="0.25">
      <c r="D291" s="24"/>
      <c r="E291" s="24"/>
    </row>
    <row r="292" spans="4:5" x14ac:dyDescent="0.25">
      <c r="D292" s="24"/>
      <c r="E292" s="24"/>
    </row>
    <row r="293" spans="4:5" x14ac:dyDescent="0.25">
      <c r="D293" s="24"/>
      <c r="E293" s="24"/>
    </row>
    <row r="294" spans="4:5" x14ac:dyDescent="0.25">
      <c r="D294" s="24"/>
      <c r="E294" s="24"/>
    </row>
    <row r="295" spans="4:5" x14ac:dyDescent="0.25">
      <c r="D295" s="24"/>
      <c r="E295" s="24"/>
    </row>
    <row r="296" spans="4:5" x14ac:dyDescent="0.25">
      <c r="D296" s="24"/>
      <c r="E296" s="24"/>
    </row>
    <row r="297" spans="4:5" x14ac:dyDescent="0.25">
      <c r="D297" s="24"/>
      <c r="E297" s="24"/>
    </row>
    <row r="298" spans="4:5" x14ac:dyDescent="0.25">
      <c r="D298" s="24"/>
      <c r="E298" s="24"/>
    </row>
    <row r="299" spans="4:5" x14ac:dyDescent="0.25">
      <c r="D299" s="24"/>
      <c r="E299" s="24"/>
    </row>
    <row r="300" spans="4:5" x14ac:dyDescent="0.25">
      <c r="D300" s="24"/>
      <c r="E300" s="24"/>
    </row>
    <row r="301" spans="4:5" x14ac:dyDescent="0.25">
      <c r="D301" s="24"/>
      <c r="E301" s="24"/>
    </row>
    <row r="302" spans="4:5" x14ac:dyDescent="0.25">
      <c r="D302" s="24"/>
      <c r="E302" s="24"/>
    </row>
    <row r="303" spans="4:5" x14ac:dyDescent="0.25">
      <c r="D303" s="24"/>
      <c r="E303" s="24"/>
    </row>
    <row r="304" spans="4:5" x14ac:dyDescent="0.25">
      <c r="D304" s="24"/>
      <c r="E304" s="24"/>
    </row>
    <row r="305" spans="4:5" x14ac:dyDescent="0.25">
      <c r="D305" s="24"/>
      <c r="E305" s="24"/>
    </row>
    <row r="306" spans="4:5" x14ac:dyDescent="0.25">
      <c r="D306" s="24"/>
      <c r="E306" s="24"/>
    </row>
    <row r="307" spans="4:5" x14ac:dyDescent="0.25">
      <c r="D307" s="24"/>
      <c r="E307" s="24"/>
    </row>
    <row r="308" spans="4:5" x14ac:dyDescent="0.25">
      <c r="D308" s="24"/>
      <c r="E308" s="24"/>
    </row>
    <row r="309" spans="4:5" x14ac:dyDescent="0.25">
      <c r="D309" s="24"/>
      <c r="E309" s="24"/>
    </row>
    <row r="310" spans="4:5" x14ac:dyDescent="0.25">
      <c r="D310" s="24"/>
      <c r="E310" s="24"/>
    </row>
    <row r="311" spans="4:5" x14ac:dyDescent="0.25">
      <c r="D311" s="24"/>
      <c r="E311" s="24"/>
    </row>
    <row r="312" spans="4:5" x14ac:dyDescent="0.25">
      <c r="D312" s="24"/>
      <c r="E312" s="24"/>
    </row>
    <row r="313" spans="4:5" x14ac:dyDescent="0.25">
      <c r="D313" s="24"/>
      <c r="E313" s="24"/>
    </row>
    <row r="314" spans="4:5" x14ac:dyDescent="0.25">
      <c r="D314" s="24"/>
      <c r="E314" s="24"/>
    </row>
    <row r="315" spans="4:5" x14ac:dyDescent="0.25">
      <c r="D315" s="24"/>
      <c r="E315" s="24"/>
    </row>
    <row r="316" spans="4:5" x14ac:dyDescent="0.25">
      <c r="D316" s="24"/>
      <c r="E316" s="24"/>
    </row>
    <row r="317" spans="4:5" x14ac:dyDescent="0.25">
      <c r="D317" s="24"/>
      <c r="E317" s="24"/>
    </row>
    <row r="318" spans="4:5" x14ac:dyDescent="0.25">
      <c r="D318" s="24"/>
      <c r="E318" s="24"/>
    </row>
    <row r="319" spans="4:5" x14ac:dyDescent="0.25">
      <c r="D319" s="24"/>
      <c r="E319" s="24"/>
    </row>
    <row r="320" spans="4:5" x14ac:dyDescent="0.25">
      <c r="D320" s="24"/>
      <c r="E320" s="24"/>
    </row>
    <row r="321" spans="4:5" x14ac:dyDescent="0.25">
      <c r="D321" s="24"/>
      <c r="E321" s="24"/>
    </row>
    <row r="322" spans="4:5" x14ac:dyDescent="0.25">
      <c r="D322" s="24"/>
      <c r="E322" s="24"/>
    </row>
    <row r="323" spans="4:5" x14ac:dyDescent="0.25">
      <c r="D323" s="24"/>
      <c r="E323" s="24"/>
    </row>
    <row r="324" spans="4:5" x14ac:dyDescent="0.25">
      <c r="D324" s="24"/>
      <c r="E324" s="24"/>
    </row>
    <row r="325" spans="4:5" x14ac:dyDescent="0.25">
      <c r="D325" s="24"/>
      <c r="E325" s="24"/>
    </row>
    <row r="326" spans="4:5" x14ac:dyDescent="0.25">
      <c r="D326" s="24"/>
      <c r="E326" s="24"/>
    </row>
    <row r="327" spans="4:5" x14ac:dyDescent="0.25">
      <c r="D327" s="24"/>
      <c r="E327" s="24"/>
    </row>
    <row r="328" spans="4:5" x14ac:dyDescent="0.25">
      <c r="D328" s="24"/>
      <c r="E328" s="24"/>
    </row>
    <row r="329" spans="4:5" x14ac:dyDescent="0.25">
      <c r="D329" s="24"/>
      <c r="E329" s="24"/>
    </row>
    <row r="330" spans="4:5" x14ac:dyDescent="0.25">
      <c r="D330" s="24"/>
      <c r="E330" s="24"/>
    </row>
    <row r="331" spans="4:5" x14ac:dyDescent="0.25">
      <c r="D331" s="24"/>
      <c r="E331" s="24"/>
    </row>
    <row r="332" spans="4:5" x14ac:dyDescent="0.25">
      <c r="D332" s="24"/>
      <c r="E332" s="24"/>
    </row>
    <row r="333" spans="4:5" x14ac:dyDescent="0.25">
      <c r="D333" s="24"/>
      <c r="E333" s="24"/>
    </row>
    <row r="334" spans="4:5" x14ac:dyDescent="0.25">
      <c r="D334" s="24"/>
      <c r="E334" s="24"/>
    </row>
    <row r="335" spans="4:5" x14ac:dyDescent="0.25">
      <c r="D335" s="24"/>
      <c r="E335" s="24"/>
    </row>
    <row r="336" spans="4:5" x14ac:dyDescent="0.25">
      <c r="D336" s="24"/>
      <c r="E336" s="24"/>
    </row>
    <row r="337" spans="4:5" x14ac:dyDescent="0.25">
      <c r="D337" s="24"/>
      <c r="E337" s="24"/>
    </row>
    <row r="338" spans="4:5" x14ac:dyDescent="0.25">
      <c r="D338" s="24"/>
      <c r="E338" s="24"/>
    </row>
    <row r="339" spans="4:5" x14ac:dyDescent="0.25">
      <c r="D339" s="24"/>
      <c r="E339" s="24"/>
    </row>
    <row r="340" spans="4:5" x14ac:dyDescent="0.25">
      <c r="D340" s="24"/>
      <c r="E340" s="24"/>
    </row>
    <row r="341" spans="4:5" x14ac:dyDescent="0.25">
      <c r="D341" s="24"/>
      <c r="E341" s="24"/>
    </row>
    <row r="342" spans="4:5" x14ac:dyDescent="0.25">
      <c r="D342" s="24"/>
      <c r="E342" s="24"/>
    </row>
    <row r="343" spans="4:5" x14ac:dyDescent="0.25">
      <c r="D343" s="24"/>
      <c r="E343" s="24"/>
    </row>
    <row r="344" spans="4:5" x14ac:dyDescent="0.25">
      <c r="D344" s="24"/>
      <c r="E344" s="24"/>
    </row>
    <row r="345" spans="4:5" x14ac:dyDescent="0.25">
      <c r="D345" s="24"/>
      <c r="E345" s="24"/>
    </row>
    <row r="346" spans="4:5" x14ac:dyDescent="0.25">
      <c r="D346" s="24"/>
      <c r="E346" s="24"/>
    </row>
    <row r="347" spans="4:5" x14ac:dyDescent="0.25">
      <c r="D347" s="24"/>
      <c r="E347" s="24"/>
    </row>
    <row r="348" spans="4:5" x14ac:dyDescent="0.25">
      <c r="D348" s="24"/>
      <c r="E348" s="24"/>
    </row>
    <row r="349" spans="4:5" x14ac:dyDescent="0.25">
      <c r="D349" s="24"/>
      <c r="E349" s="24"/>
    </row>
    <row r="350" spans="4:5" x14ac:dyDescent="0.25">
      <c r="D350" s="24"/>
      <c r="E350" s="24"/>
    </row>
    <row r="351" spans="4:5" x14ac:dyDescent="0.25">
      <c r="D351" s="24"/>
      <c r="E351" s="24"/>
    </row>
    <row r="352" spans="4:5" x14ac:dyDescent="0.25">
      <c r="D352" s="24"/>
      <c r="E352" s="24"/>
    </row>
    <row r="353" spans="4:5" x14ac:dyDescent="0.25">
      <c r="D353" s="24"/>
      <c r="E353" s="24"/>
    </row>
    <row r="354" spans="4:5" x14ac:dyDescent="0.25">
      <c r="D354" s="24"/>
      <c r="E354" s="24"/>
    </row>
    <row r="355" spans="4:5" x14ac:dyDescent="0.25">
      <c r="D355" s="24"/>
      <c r="E355" s="24"/>
    </row>
    <row r="356" spans="4:5" x14ac:dyDescent="0.25">
      <c r="D356" s="24"/>
      <c r="E356" s="24"/>
    </row>
    <row r="357" spans="4:5" x14ac:dyDescent="0.25">
      <c r="D357" s="24"/>
      <c r="E357" s="24"/>
    </row>
    <row r="358" spans="4:5" x14ac:dyDescent="0.25">
      <c r="D358" s="24"/>
      <c r="E358" s="24"/>
    </row>
    <row r="359" spans="4:5" x14ac:dyDescent="0.25">
      <c r="D359" s="24"/>
      <c r="E359" s="24"/>
    </row>
    <row r="360" spans="4:5" x14ac:dyDescent="0.25">
      <c r="D360" s="24"/>
      <c r="E360" s="24"/>
    </row>
    <row r="361" spans="4:5" x14ac:dyDescent="0.25">
      <c r="D361" s="24"/>
      <c r="E361" s="24"/>
    </row>
    <row r="362" spans="4:5" x14ac:dyDescent="0.25">
      <c r="D362" s="24"/>
      <c r="E362" s="24"/>
    </row>
    <row r="363" spans="4:5" x14ac:dyDescent="0.25">
      <c r="D363" s="24"/>
      <c r="E363" s="24"/>
    </row>
    <row r="364" spans="4:5" x14ac:dyDescent="0.25">
      <c r="D364" s="24"/>
      <c r="E364" s="24"/>
    </row>
    <row r="365" spans="4:5" x14ac:dyDescent="0.25">
      <c r="D365" s="24"/>
      <c r="E365" s="24"/>
    </row>
    <row r="366" spans="4:5" x14ac:dyDescent="0.25">
      <c r="D366" s="24"/>
      <c r="E366" s="24"/>
    </row>
    <row r="367" spans="4:5" x14ac:dyDescent="0.25">
      <c r="D367" s="24"/>
      <c r="E367" s="24"/>
    </row>
    <row r="368" spans="4:5" x14ac:dyDescent="0.25">
      <c r="D368" s="24"/>
      <c r="E368" s="24"/>
    </row>
    <row r="369" spans="4:5" x14ac:dyDescent="0.25">
      <c r="D369" s="24"/>
      <c r="E369" s="24"/>
    </row>
    <row r="370" spans="4:5" x14ac:dyDescent="0.25">
      <c r="D370" s="24"/>
      <c r="E370" s="24"/>
    </row>
    <row r="371" spans="4:5" x14ac:dyDescent="0.25">
      <c r="D371" s="24"/>
      <c r="E371" s="24"/>
    </row>
    <row r="372" spans="4:5" x14ac:dyDescent="0.25">
      <c r="D372" s="24"/>
      <c r="E372" s="24"/>
    </row>
    <row r="373" spans="4:5" x14ac:dyDescent="0.25">
      <c r="D373" s="24"/>
      <c r="E373" s="24"/>
    </row>
    <row r="374" spans="4:5" x14ac:dyDescent="0.25">
      <c r="D374" s="24"/>
      <c r="E374" s="24"/>
    </row>
    <row r="375" spans="4:5" x14ac:dyDescent="0.25">
      <c r="D375" s="24"/>
      <c r="E375" s="24"/>
    </row>
    <row r="376" spans="4:5" x14ac:dyDescent="0.25">
      <c r="D376" s="24"/>
      <c r="E376" s="24"/>
    </row>
    <row r="377" spans="4:5" x14ac:dyDescent="0.25">
      <c r="D377" s="24"/>
      <c r="E377" s="24"/>
    </row>
    <row r="378" spans="4:5" x14ac:dyDescent="0.25">
      <c r="D378" s="24"/>
      <c r="E378" s="24"/>
    </row>
    <row r="379" spans="4:5" x14ac:dyDescent="0.25">
      <c r="D379" s="24"/>
      <c r="E379" s="24"/>
    </row>
    <row r="380" spans="4:5" x14ac:dyDescent="0.25">
      <c r="D380" s="24"/>
      <c r="E380" s="24"/>
    </row>
    <row r="381" spans="4:5" x14ac:dyDescent="0.25">
      <c r="D381" s="24"/>
      <c r="E381" s="24"/>
    </row>
    <row r="382" spans="4:5" x14ac:dyDescent="0.25">
      <c r="D382" s="24"/>
      <c r="E382" s="24"/>
    </row>
    <row r="383" spans="4:5" x14ac:dyDescent="0.25">
      <c r="D383" s="24"/>
      <c r="E383" s="24"/>
    </row>
    <row r="384" spans="4:5" x14ac:dyDescent="0.25">
      <c r="D384" s="24"/>
      <c r="E384" s="24"/>
    </row>
    <row r="385" spans="4:5" x14ac:dyDescent="0.25">
      <c r="D385" s="24"/>
      <c r="E385" s="24"/>
    </row>
    <row r="386" spans="4:5" x14ac:dyDescent="0.25">
      <c r="D386" s="24"/>
      <c r="E386" s="24"/>
    </row>
    <row r="387" spans="4:5" x14ac:dyDescent="0.25">
      <c r="D387" s="24"/>
      <c r="E387" s="24"/>
    </row>
    <row r="388" spans="4:5" x14ac:dyDescent="0.25">
      <c r="D388" s="24"/>
      <c r="E388" s="24"/>
    </row>
    <row r="389" spans="4:5" x14ac:dyDescent="0.25">
      <c r="D389" s="24"/>
      <c r="E389" s="24"/>
    </row>
    <row r="390" spans="4:5" x14ac:dyDescent="0.25">
      <c r="D390" s="24"/>
      <c r="E390" s="24"/>
    </row>
    <row r="391" spans="4:5" x14ac:dyDescent="0.25">
      <c r="D391" s="24"/>
      <c r="E391" s="24"/>
    </row>
    <row r="392" spans="4:5" x14ac:dyDescent="0.25">
      <c r="D392" s="24"/>
      <c r="E392" s="24"/>
    </row>
    <row r="393" spans="4:5" x14ac:dyDescent="0.25">
      <c r="D393" s="24"/>
      <c r="E393" s="24"/>
    </row>
    <row r="394" spans="4:5" x14ac:dyDescent="0.25">
      <c r="D394" s="24"/>
      <c r="E394" s="24"/>
    </row>
    <row r="395" spans="4:5" x14ac:dyDescent="0.25">
      <c r="D395" s="24"/>
      <c r="E395" s="24"/>
    </row>
    <row r="396" spans="4:5" x14ac:dyDescent="0.25">
      <c r="D396" s="24"/>
      <c r="E396" s="24"/>
    </row>
    <row r="397" spans="4:5" x14ac:dyDescent="0.25">
      <c r="D397" s="24"/>
      <c r="E397" s="24"/>
    </row>
    <row r="398" spans="4:5" x14ac:dyDescent="0.25">
      <c r="D398" s="24"/>
      <c r="E398" s="24"/>
    </row>
    <row r="399" spans="4:5" x14ac:dyDescent="0.25">
      <c r="D399" s="24"/>
      <c r="E399" s="24"/>
    </row>
    <row r="400" spans="4:5" x14ac:dyDescent="0.25">
      <c r="D400" s="24"/>
      <c r="E400" s="24"/>
    </row>
    <row r="401" spans="4:5" x14ac:dyDescent="0.25">
      <c r="D401" s="24"/>
      <c r="E401" s="24"/>
    </row>
    <row r="402" spans="4:5" x14ac:dyDescent="0.25">
      <c r="D402" s="24"/>
      <c r="E402" s="24"/>
    </row>
    <row r="403" spans="4:5" x14ac:dyDescent="0.25">
      <c r="D403" s="24"/>
      <c r="E403" s="24"/>
    </row>
    <row r="404" spans="4:5" x14ac:dyDescent="0.25">
      <c r="D404" s="24"/>
      <c r="E404" s="24"/>
    </row>
    <row r="405" spans="4:5" x14ac:dyDescent="0.25">
      <c r="D405" s="24"/>
      <c r="E405" s="24"/>
    </row>
    <row r="406" spans="4:5" x14ac:dyDescent="0.25">
      <c r="D406" s="24"/>
      <c r="E406" s="24"/>
    </row>
    <row r="407" spans="4:5" x14ac:dyDescent="0.25">
      <c r="D407" s="24"/>
      <c r="E407" s="24"/>
    </row>
    <row r="408" spans="4:5" x14ac:dyDescent="0.25">
      <c r="D408" s="24"/>
      <c r="E408" s="24"/>
    </row>
    <row r="409" spans="4:5" x14ac:dyDescent="0.25">
      <c r="D409" s="24"/>
      <c r="E409" s="24"/>
    </row>
    <row r="410" spans="4:5" x14ac:dyDescent="0.25">
      <c r="D410" s="24"/>
      <c r="E410" s="24"/>
    </row>
    <row r="411" spans="4:5" x14ac:dyDescent="0.25">
      <c r="D411" s="24"/>
      <c r="E411" s="24"/>
    </row>
    <row r="412" spans="4:5" x14ac:dyDescent="0.25">
      <c r="D412" s="24"/>
      <c r="E412" s="24"/>
    </row>
    <row r="413" spans="4:5" x14ac:dyDescent="0.25">
      <c r="D413" s="24"/>
      <c r="E413" s="24"/>
    </row>
    <row r="414" spans="4:5" x14ac:dyDescent="0.25">
      <c r="D414" s="24"/>
      <c r="E414" s="24"/>
    </row>
    <row r="415" spans="4:5" x14ac:dyDescent="0.25">
      <c r="D415" s="24"/>
      <c r="E415" s="24"/>
    </row>
    <row r="416" spans="4:5" x14ac:dyDescent="0.25">
      <c r="D416" s="24"/>
      <c r="E416" s="24"/>
    </row>
    <row r="417" spans="4:5" x14ac:dyDescent="0.25">
      <c r="D417" s="24"/>
      <c r="E417" s="24"/>
    </row>
    <row r="418" spans="4:5" x14ac:dyDescent="0.25">
      <c r="D418" s="24"/>
      <c r="E418" s="24"/>
    </row>
    <row r="419" spans="4:5" x14ac:dyDescent="0.25">
      <c r="D419" s="24"/>
      <c r="E419" s="24"/>
    </row>
    <row r="420" spans="4:5" x14ac:dyDescent="0.25">
      <c r="D420" s="24"/>
      <c r="E420" s="24"/>
    </row>
    <row r="421" spans="4:5" x14ac:dyDescent="0.25">
      <c r="D421" s="24"/>
      <c r="E421" s="24"/>
    </row>
    <row r="422" spans="4:5" x14ac:dyDescent="0.25">
      <c r="D422" s="24"/>
      <c r="E422" s="24"/>
    </row>
    <row r="423" spans="4:5" x14ac:dyDescent="0.25">
      <c r="D423" s="24"/>
      <c r="E423" s="24"/>
    </row>
    <row r="424" spans="4:5" x14ac:dyDescent="0.25">
      <c r="D424" s="24"/>
      <c r="E424" s="24"/>
    </row>
    <row r="425" spans="4:5" x14ac:dyDescent="0.25">
      <c r="D425" s="24"/>
      <c r="E425" s="24"/>
    </row>
    <row r="426" spans="4:5" x14ac:dyDescent="0.25">
      <c r="D426" s="24"/>
      <c r="E426" s="24"/>
    </row>
    <row r="427" spans="4:5" x14ac:dyDescent="0.25">
      <c r="D427" s="24"/>
      <c r="E427" s="24"/>
    </row>
    <row r="428" spans="4:5" x14ac:dyDescent="0.25">
      <c r="D428" s="24"/>
      <c r="E428" s="24"/>
    </row>
    <row r="429" spans="4:5" x14ac:dyDescent="0.25">
      <c r="D429" s="24"/>
      <c r="E429" s="24"/>
    </row>
    <row r="430" spans="4:5" x14ac:dyDescent="0.25">
      <c r="D430" s="24"/>
      <c r="E430" s="24"/>
    </row>
    <row r="431" spans="4:5" x14ac:dyDescent="0.25">
      <c r="D431" s="24"/>
      <c r="E431" s="24"/>
    </row>
    <row r="432" spans="4:5" x14ac:dyDescent="0.25">
      <c r="D432" s="24"/>
      <c r="E432" s="24"/>
    </row>
    <row r="433" spans="4:5" x14ac:dyDescent="0.25">
      <c r="D433" s="24"/>
      <c r="E433" s="24"/>
    </row>
    <row r="434" spans="4:5" x14ac:dyDescent="0.25">
      <c r="D434" s="24"/>
      <c r="E434" s="24"/>
    </row>
    <row r="435" spans="4:5" x14ac:dyDescent="0.25">
      <c r="D435" s="24"/>
      <c r="E435" s="24"/>
    </row>
    <row r="436" spans="4:5" x14ac:dyDescent="0.25">
      <c r="D436" s="24"/>
      <c r="E436" s="24"/>
    </row>
    <row r="437" spans="4:5" x14ac:dyDescent="0.25">
      <c r="D437" s="24"/>
      <c r="E437" s="24"/>
    </row>
    <row r="438" spans="4:5" x14ac:dyDescent="0.25">
      <c r="D438" s="24"/>
      <c r="E438" s="24"/>
    </row>
    <row r="439" spans="4:5" x14ac:dyDescent="0.25">
      <c r="D439" s="24"/>
      <c r="E439" s="24"/>
    </row>
    <row r="440" spans="4:5" x14ac:dyDescent="0.25">
      <c r="D440" s="24"/>
      <c r="E440" s="24"/>
    </row>
    <row r="441" spans="4:5" x14ac:dyDescent="0.25">
      <c r="D441" s="24"/>
      <c r="E441" s="24"/>
    </row>
    <row r="442" spans="4:5" x14ac:dyDescent="0.25">
      <c r="D442" s="24"/>
      <c r="E442" s="24"/>
    </row>
    <row r="443" spans="4:5" x14ac:dyDescent="0.25">
      <c r="D443" s="24"/>
      <c r="E443" s="24"/>
    </row>
    <row r="444" spans="4:5" x14ac:dyDescent="0.25">
      <c r="D444" s="24"/>
      <c r="E444" s="24"/>
    </row>
    <row r="445" spans="4:5" x14ac:dyDescent="0.25">
      <c r="D445" s="24"/>
      <c r="E445" s="24"/>
    </row>
    <row r="446" spans="4:5" x14ac:dyDescent="0.25">
      <c r="D446" s="24"/>
      <c r="E446" s="24"/>
    </row>
    <row r="447" spans="4:5" x14ac:dyDescent="0.25">
      <c r="D447" s="24"/>
      <c r="E447" s="24"/>
    </row>
    <row r="448" spans="4:5" x14ac:dyDescent="0.25">
      <c r="D448" s="24"/>
      <c r="E448" s="24"/>
    </row>
    <row r="449" spans="4:5" x14ac:dyDescent="0.25">
      <c r="D449" s="24"/>
      <c r="E449" s="24"/>
    </row>
    <row r="450" spans="4:5" x14ac:dyDescent="0.25">
      <c r="D450" s="24"/>
      <c r="E450" s="24"/>
    </row>
    <row r="451" spans="4:5" x14ac:dyDescent="0.25">
      <c r="D451" s="24"/>
      <c r="E451" s="24"/>
    </row>
    <row r="452" spans="4:5" x14ac:dyDescent="0.25">
      <c r="D452" s="24"/>
      <c r="E452" s="24"/>
    </row>
    <row r="453" spans="4:5" x14ac:dyDescent="0.25">
      <c r="D453" s="24"/>
      <c r="E453" s="24"/>
    </row>
    <row r="454" spans="4:5" x14ac:dyDescent="0.25">
      <c r="D454" s="24"/>
      <c r="E454" s="24"/>
    </row>
    <row r="455" spans="4:5" x14ac:dyDescent="0.25">
      <c r="D455" s="24"/>
      <c r="E455" s="24"/>
    </row>
    <row r="456" spans="4:5" x14ac:dyDescent="0.25">
      <c r="D456" s="24"/>
      <c r="E456" s="24"/>
    </row>
    <row r="457" spans="4:5" x14ac:dyDescent="0.25">
      <c r="D457" s="24"/>
      <c r="E457" s="24"/>
    </row>
    <row r="458" spans="4:5" x14ac:dyDescent="0.25">
      <c r="D458" s="24"/>
      <c r="E458" s="24"/>
    </row>
    <row r="459" spans="4:5" x14ac:dyDescent="0.25">
      <c r="D459" s="24"/>
      <c r="E459" s="24"/>
    </row>
    <row r="460" spans="4:5" x14ac:dyDescent="0.25">
      <c r="D460" s="24"/>
      <c r="E460" s="24"/>
    </row>
    <row r="461" spans="4:5" x14ac:dyDescent="0.25">
      <c r="D461" s="24"/>
      <c r="E461" s="24"/>
    </row>
    <row r="462" spans="4:5" x14ac:dyDescent="0.25">
      <c r="D462" s="24"/>
      <c r="E462" s="24"/>
    </row>
    <row r="463" spans="4:5" x14ac:dyDescent="0.25">
      <c r="D463" s="24"/>
      <c r="E463" s="24"/>
    </row>
    <row r="464" spans="4:5" x14ac:dyDescent="0.25">
      <c r="D464" s="24"/>
      <c r="E464" s="24"/>
    </row>
    <row r="465" spans="4:5" x14ac:dyDescent="0.25">
      <c r="D465" s="24"/>
      <c r="E465" s="24"/>
    </row>
    <row r="466" spans="4:5" x14ac:dyDescent="0.25">
      <c r="D466" s="24"/>
      <c r="E466" s="24"/>
    </row>
    <row r="467" spans="4:5" x14ac:dyDescent="0.25">
      <c r="D467" s="24"/>
      <c r="E467" s="24"/>
    </row>
    <row r="468" spans="4:5" x14ac:dyDescent="0.25">
      <c r="D468" s="24"/>
      <c r="E468" s="24"/>
    </row>
    <row r="469" spans="4:5" x14ac:dyDescent="0.25">
      <c r="D469" s="24"/>
      <c r="E469" s="24"/>
    </row>
    <row r="470" spans="4:5" x14ac:dyDescent="0.25">
      <c r="D470" s="24"/>
      <c r="E470" s="24"/>
    </row>
    <row r="471" spans="4:5" x14ac:dyDescent="0.25">
      <c r="D471" s="24"/>
      <c r="E471" s="24"/>
    </row>
    <row r="472" spans="4:5" x14ac:dyDescent="0.25">
      <c r="D472" s="24"/>
      <c r="E472" s="24"/>
    </row>
    <row r="473" spans="4:5" x14ac:dyDescent="0.25">
      <c r="D473" s="24"/>
      <c r="E473" s="24"/>
    </row>
    <row r="474" spans="4:5" x14ac:dyDescent="0.25">
      <c r="D474" s="24"/>
      <c r="E474" s="24"/>
    </row>
    <row r="475" spans="4:5" x14ac:dyDescent="0.25">
      <c r="D475" s="24"/>
      <c r="E475" s="24"/>
    </row>
    <row r="476" spans="4:5" x14ac:dyDescent="0.25">
      <c r="D476" s="24"/>
      <c r="E476" s="24"/>
    </row>
    <row r="477" spans="4:5" x14ac:dyDescent="0.25">
      <c r="D477" s="24"/>
      <c r="E477" s="24"/>
    </row>
    <row r="478" spans="4:5" x14ac:dyDescent="0.25">
      <c r="D478" s="24"/>
      <c r="E478" s="24"/>
    </row>
    <row r="479" spans="4:5" x14ac:dyDescent="0.25">
      <c r="D479" s="24"/>
      <c r="E479" s="24"/>
    </row>
    <row r="480" spans="4:5" x14ac:dyDescent="0.25">
      <c r="D480" s="24"/>
      <c r="E480" s="24"/>
    </row>
    <row r="481" spans="4:5" x14ac:dyDescent="0.25">
      <c r="D481" s="24"/>
      <c r="E481" s="24"/>
    </row>
    <row r="482" spans="4:5" x14ac:dyDescent="0.25">
      <c r="D482" s="24"/>
      <c r="E482" s="24"/>
    </row>
    <row r="483" spans="4:5" x14ac:dyDescent="0.25">
      <c r="D483" s="24"/>
      <c r="E483" s="24"/>
    </row>
    <row r="484" spans="4:5" x14ac:dyDescent="0.25">
      <c r="D484" s="24"/>
      <c r="E484" s="24"/>
    </row>
    <row r="485" spans="4:5" x14ac:dyDescent="0.25">
      <c r="D485" s="24"/>
      <c r="E485" s="24"/>
    </row>
    <row r="486" spans="4:5" x14ac:dyDescent="0.25">
      <c r="D486" s="24"/>
      <c r="E486" s="24"/>
    </row>
    <row r="487" spans="4:5" x14ac:dyDescent="0.25">
      <c r="D487" s="24"/>
      <c r="E487" s="24"/>
    </row>
    <row r="488" spans="4:5" x14ac:dyDescent="0.25">
      <c r="D488" s="24"/>
      <c r="E488" s="24"/>
    </row>
    <row r="489" spans="4:5" x14ac:dyDescent="0.25">
      <c r="D489" s="24"/>
      <c r="E489" s="24"/>
    </row>
    <row r="490" spans="4:5" x14ac:dyDescent="0.25">
      <c r="D490" s="24"/>
      <c r="E490" s="24"/>
    </row>
    <row r="491" spans="4:5" x14ac:dyDescent="0.25">
      <c r="D491" s="24"/>
      <c r="E491" s="24"/>
    </row>
    <row r="492" spans="4:5" x14ac:dyDescent="0.25">
      <c r="D492" s="24"/>
      <c r="E492" s="24"/>
    </row>
    <row r="493" spans="4:5" x14ac:dyDescent="0.25">
      <c r="D493" s="24"/>
      <c r="E493" s="24"/>
    </row>
    <row r="494" spans="4:5" x14ac:dyDescent="0.25">
      <c r="D494" s="24"/>
      <c r="E494" s="24"/>
    </row>
    <row r="495" spans="4:5" x14ac:dyDescent="0.25">
      <c r="D495" s="24"/>
      <c r="E495" s="24"/>
    </row>
    <row r="496" spans="4:5" x14ac:dyDescent="0.25">
      <c r="D496" s="24"/>
      <c r="E496" s="24"/>
    </row>
    <row r="497" spans="4:5" x14ac:dyDescent="0.25">
      <c r="D497" s="24"/>
      <c r="E497" s="24"/>
    </row>
    <row r="498" spans="4:5" x14ac:dyDescent="0.25">
      <c r="D498" s="24"/>
      <c r="E498" s="24"/>
    </row>
    <row r="499" spans="4:5" x14ac:dyDescent="0.25">
      <c r="D499" s="24"/>
      <c r="E499" s="24"/>
    </row>
    <row r="500" spans="4:5" x14ac:dyDescent="0.25">
      <c r="D500" s="24"/>
      <c r="E500" s="24"/>
    </row>
    <row r="501" spans="4:5" x14ac:dyDescent="0.25">
      <c r="D501" s="24"/>
      <c r="E501" s="24"/>
    </row>
    <row r="502" spans="4:5" x14ac:dyDescent="0.25">
      <c r="D502" s="24"/>
      <c r="E502" s="24"/>
    </row>
    <row r="503" spans="4:5" x14ac:dyDescent="0.25">
      <c r="D503" s="24"/>
      <c r="E503" s="24"/>
    </row>
    <row r="504" spans="4:5" x14ac:dyDescent="0.25">
      <c r="D504" s="24"/>
      <c r="E504" s="24"/>
    </row>
    <row r="505" spans="4:5" x14ac:dyDescent="0.25">
      <c r="D505" s="24"/>
      <c r="E505" s="24"/>
    </row>
    <row r="506" spans="4:5" x14ac:dyDescent="0.25">
      <c r="D506" s="24"/>
      <c r="E506" s="24"/>
    </row>
    <row r="507" spans="4:5" x14ac:dyDescent="0.25">
      <c r="D507" s="24"/>
      <c r="E507" s="24"/>
    </row>
    <row r="508" spans="4:5" x14ac:dyDescent="0.25">
      <c r="D508" s="24"/>
      <c r="E508" s="24"/>
    </row>
    <row r="509" spans="4:5" x14ac:dyDescent="0.25">
      <c r="D509" s="24"/>
      <c r="E509" s="24"/>
    </row>
    <row r="510" spans="4:5" x14ac:dyDescent="0.25">
      <c r="D510" s="24"/>
      <c r="E510" s="24"/>
    </row>
    <row r="511" spans="4:5" x14ac:dyDescent="0.25">
      <c r="D511" s="24"/>
      <c r="E511" s="24"/>
    </row>
    <row r="512" spans="4:5" x14ac:dyDescent="0.25">
      <c r="D512" s="24"/>
      <c r="E512" s="24"/>
    </row>
    <row r="513" spans="4:5" x14ac:dyDescent="0.25">
      <c r="D513" s="24"/>
      <c r="E513" s="24"/>
    </row>
    <row r="514" spans="4:5" x14ac:dyDescent="0.25">
      <c r="D514" s="24"/>
      <c r="E514" s="24"/>
    </row>
    <row r="515" spans="4:5" x14ac:dyDescent="0.25">
      <c r="D515" s="24"/>
      <c r="E515" s="24"/>
    </row>
    <row r="516" spans="4:5" x14ac:dyDescent="0.25">
      <c r="D516" s="24"/>
      <c r="E516" s="24"/>
    </row>
    <row r="517" spans="4:5" x14ac:dyDescent="0.25">
      <c r="D517" s="24"/>
      <c r="E517" s="24"/>
    </row>
    <row r="518" spans="4:5" x14ac:dyDescent="0.25">
      <c r="D518" s="24"/>
      <c r="E518" s="24"/>
    </row>
    <row r="519" spans="4:5" x14ac:dyDescent="0.25">
      <c r="D519" s="24"/>
      <c r="E519" s="24"/>
    </row>
    <row r="520" spans="4:5" x14ac:dyDescent="0.25">
      <c r="D520" s="24"/>
      <c r="E520" s="24"/>
    </row>
    <row r="521" spans="4:5" x14ac:dyDescent="0.25">
      <c r="D521" s="24"/>
      <c r="E521" s="24"/>
    </row>
    <row r="522" spans="4:5" x14ac:dyDescent="0.25">
      <c r="D522" s="24"/>
      <c r="E522" s="24"/>
    </row>
    <row r="523" spans="4:5" x14ac:dyDescent="0.25">
      <c r="D523" s="24"/>
      <c r="E523" s="24"/>
    </row>
    <row r="524" spans="4:5" x14ac:dyDescent="0.25">
      <c r="D524" s="24"/>
      <c r="E524" s="24"/>
    </row>
    <row r="525" spans="4:5" x14ac:dyDescent="0.25">
      <c r="D525" s="24"/>
      <c r="E525" s="24"/>
    </row>
    <row r="526" spans="4:5" x14ac:dyDescent="0.25">
      <c r="D526" s="24"/>
      <c r="E526" s="24"/>
    </row>
    <row r="527" spans="4:5" x14ac:dyDescent="0.25">
      <c r="D527" s="24"/>
      <c r="E527" s="24"/>
    </row>
    <row r="528" spans="4:5" x14ac:dyDescent="0.25">
      <c r="D528" s="24"/>
      <c r="E528" s="24"/>
    </row>
    <row r="529" spans="4:5" x14ac:dyDescent="0.25">
      <c r="D529" s="24"/>
      <c r="E529" s="24"/>
    </row>
    <row r="530" spans="4:5" x14ac:dyDescent="0.25">
      <c r="D530" s="24"/>
      <c r="E530" s="24"/>
    </row>
    <row r="531" spans="4:5" x14ac:dyDescent="0.25">
      <c r="D531" s="24"/>
      <c r="E531" s="24"/>
    </row>
    <row r="532" spans="4:5" x14ac:dyDescent="0.25">
      <c r="D532" s="24"/>
      <c r="E532" s="24"/>
    </row>
    <row r="533" spans="4:5" x14ac:dyDescent="0.25">
      <c r="D533" s="24"/>
      <c r="E533" s="24"/>
    </row>
    <row r="534" spans="4:5" x14ac:dyDescent="0.25">
      <c r="D534" s="24"/>
      <c r="E534" s="24"/>
    </row>
    <row r="535" spans="4:5" x14ac:dyDescent="0.25">
      <c r="D535" s="24"/>
      <c r="E535" s="24"/>
    </row>
    <row r="536" spans="4:5" x14ac:dyDescent="0.25">
      <c r="D536" s="24"/>
      <c r="E536" s="24"/>
    </row>
    <row r="537" spans="4:5" x14ac:dyDescent="0.25">
      <c r="D537" s="24"/>
      <c r="E537" s="24"/>
    </row>
    <row r="538" spans="4:5" x14ac:dyDescent="0.25">
      <c r="D538" s="24"/>
      <c r="E538" s="24"/>
    </row>
    <row r="539" spans="4:5" x14ac:dyDescent="0.25">
      <c r="D539" s="24"/>
      <c r="E539" s="24"/>
    </row>
    <row r="540" spans="4:5" x14ac:dyDescent="0.25">
      <c r="D540" s="24"/>
      <c r="E540" s="24"/>
    </row>
    <row r="541" spans="4:5" x14ac:dyDescent="0.25">
      <c r="D541" s="24"/>
      <c r="E541" s="24"/>
    </row>
    <row r="542" spans="4:5" x14ac:dyDescent="0.25">
      <c r="D542" s="24"/>
      <c r="E542" s="24"/>
    </row>
    <row r="543" spans="4:5" x14ac:dyDescent="0.25">
      <c r="D543" s="24"/>
      <c r="E543" s="24"/>
    </row>
    <row r="544" spans="4:5" x14ac:dyDescent="0.25">
      <c r="D544" s="24"/>
      <c r="E544" s="24"/>
    </row>
    <row r="545" spans="4:5" x14ac:dyDescent="0.25">
      <c r="D545" s="24"/>
      <c r="E545" s="24"/>
    </row>
    <row r="546" spans="4:5" x14ac:dyDescent="0.25">
      <c r="D546" s="24"/>
      <c r="E546" s="24"/>
    </row>
    <row r="547" spans="4:5" x14ac:dyDescent="0.25">
      <c r="D547" s="24"/>
      <c r="E547" s="24"/>
    </row>
    <row r="548" spans="4:5" x14ac:dyDescent="0.25">
      <c r="D548" s="24"/>
      <c r="E548" s="24"/>
    </row>
    <row r="549" spans="4:5" x14ac:dyDescent="0.25">
      <c r="D549" s="24"/>
      <c r="E549" s="24"/>
    </row>
    <row r="550" spans="4:5" x14ac:dyDescent="0.25">
      <c r="D550" s="24"/>
      <c r="E550" s="24"/>
    </row>
    <row r="551" spans="4:5" x14ac:dyDescent="0.25">
      <c r="D551" s="24"/>
      <c r="E551" s="24"/>
    </row>
    <row r="552" spans="4:5" x14ac:dyDescent="0.25">
      <c r="D552" s="24"/>
      <c r="E552" s="24"/>
    </row>
    <row r="553" spans="4:5" x14ac:dyDescent="0.25">
      <c r="D553" s="24"/>
      <c r="E553" s="24"/>
    </row>
    <row r="554" spans="4:5" x14ac:dyDescent="0.25">
      <c r="D554" s="24"/>
      <c r="E554" s="24"/>
    </row>
    <row r="555" spans="4:5" x14ac:dyDescent="0.25">
      <c r="D555" s="24"/>
      <c r="E555" s="24"/>
    </row>
    <row r="556" spans="4:5" x14ac:dyDescent="0.25">
      <c r="D556" s="24"/>
      <c r="E556" s="24"/>
    </row>
    <row r="557" spans="4:5" x14ac:dyDescent="0.25">
      <c r="D557" s="24"/>
      <c r="E557" s="24"/>
    </row>
    <row r="558" spans="4:5" x14ac:dyDescent="0.25">
      <c r="D558" s="24"/>
      <c r="E558" s="24"/>
    </row>
    <row r="559" spans="4:5" x14ac:dyDescent="0.25">
      <c r="D559" s="24"/>
      <c r="E559" s="24"/>
    </row>
    <row r="560" spans="4:5" x14ac:dyDescent="0.25">
      <c r="D560" s="24"/>
      <c r="E560" s="24"/>
    </row>
    <row r="561" spans="4:5" x14ac:dyDescent="0.25">
      <c r="D561" s="24"/>
      <c r="E561" s="24"/>
    </row>
    <row r="562" spans="4:5" x14ac:dyDescent="0.25">
      <c r="D562" s="24"/>
      <c r="E562" s="24"/>
    </row>
    <row r="563" spans="4:5" x14ac:dyDescent="0.25">
      <c r="D563" s="24"/>
      <c r="E563" s="24"/>
    </row>
    <row r="564" spans="4:5" x14ac:dyDescent="0.25">
      <c r="D564" s="24"/>
      <c r="E564" s="24"/>
    </row>
    <row r="565" spans="4:5" x14ac:dyDescent="0.25">
      <c r="D565" s="24"/>
      <c r="E565" s="24"/>
    </row>
    <row r="566" spans="4:5" x14ac:dyDescent="0.25">
      <c r="D566" s="24"/>
      <c r="E566" s="24"/>
    </row>
    <row r="567" spans="4:5" x14ac:dyDescent="0.25">
      <c r="D567" s="24"/>
      <c r="E567" s="24"/>
    </row>
    <row r="568" spans="4:5" x14ac:dyDescent="0.25">
      <c r="D568" s="24"/>
      <c r="E568" s="24"/>
    </row>
    <row r="569" spans="4:5" x14ac:dyDescent="0.25">
      <c r="D569" s="24"/>
      <c r="E569" s="24"/>
    </row>
    <row r="570" spans="4:5" x14ac:dyDescent="0.25">
      <c r="D570" s="24"/>
      <c r="E570" s="24"/>
    </row>
    <row r="571" spans="4:5" x14ac:dyDescent="0.25">
      <c r="D571" s="24"/>
      <c r="E571" s="24"/>
    </row>
    <row r="572" spans="4:5" x14ac:dyDescent="0.25">
      <c r="D572" s="24"/>
      <c r="E572" s="24"/>
    </row>
    <row r="573" spans="4:5" x14ac:dyDescent="0.25">
      <c r="D573" s="24"/>
      <c r="E573" s="24"/>
    </row>
    <row r="574" spans="4:5" x14ac:dyDescent="0.25">
      <c r="D574" s="24"/>
      <c r="E574" s="24"/>
    </row>
    <row r="575" spans="4:5" x14ac:dyDescent="0.25">
      <c r="D575" s="24"/>
      <c r="E575" s="24"/>
    </row>
    <row r="576" spans="4:5" x14ac:dyDescent="0.25">
      <c r="D576" s="24"/>
      <c r="E576" s="24"/>
    </row>
    <row r="577" spans="4:5" x14ac:dyDescent="0.25">
      <c r="D577" s="24"/>
      <c r="E577" s="24"/>
    </row>
    <row r="578" spans="4:5" x14ac:dyDescent="0.25">
      <c r="D578" s="24"/>
      <c r="E578" s="24"/>
    </row>
    <row r="579" spans="4:5" x14ac:dyDescent="0.25">
      <c r="D579" s="24"/>
      <c r="E579" s="24"/>
    </row>
    <row r="580" spans="4:5" x14ac:dyDescent="0.25">
      <c r="D580" s="24"/>
      <c r="E580" s="24"/>
    </row>
    <row r="581" spans="4:5" x14ac:dyDescent="0.25">
      <c r="D581" s="24"/>
      <c r="E581" s="24"/>
    </row>
    <row r="582" spans="4:5" x14ac:dyDescent="0.25">
      <c r="D582" s="24"/>
      <c r="E582" s="24"/>
    </row>
    <row r="583" spans="4:5" x14ac:dyDescent="0.25">
      <c r="D583" s="24"/>
      <c r="E583" s="24"/>
    </row>
    <row r="584" spans="4:5" x14ac:dyDescent="0.25">
      <c r="D584" s="24"/>
      <c r="E584" s="24"/>
    </row>
    <row r="585" spans="4:5" x14ac:dyDescent="0.25">
      <c r="D585" s="24"/>
      <c r="E585" s="24"/>
    </row>
    <row r="586" spans="4:5" x14ac:dyDescent="0.25">
      <c r="D586" s="24"/>
      <c r="E586" s="24"/>
    </row>
    <row r="587" spans="4:5" x14ac:dyDescent="0.25">
      <c r="D587" s="24"/>
      <c r="E587" s="24"/>
    </row>
    <row r="588" spans="4:5" x14ac:dyDescent="0.25">
      <c r="D588" s="24"/>
      <c r="E588" s="24"/>
    </row>
    <row r="589" spans="4:5" x14ac:dyDescent="0.25">
      <c r="D589" s="24"/>
      <c r="E589" s="24"/>
    </row>
    <row r="590" spans="4:5" x14ac:dyDescent="0.25">
      <c r="D590" s="24"/>
      <c r="E590" s="24"/>
    </row>
    <row r="591" spans="4:5" x14ac:dyDescent="0.25">
      <c r="D591" s="24"/>
      <c r="E591" s="24"/>
    </row>
    <row r="592" spans="4:5" x14ac:dyDescent="0.25">
      <c r="D592" s="24"/>
      <c r="E592" s="24"/>
    </row>
    <row r="593" spans="4:5" x14ac:dyDescent="0.25">
      <c r="D593" s="24"/>
      <c r="E593" s="24"/>
    </row>
    <row r="594" spans="4:5" x14ac:dyDescent="0.25">
      <c r="D594" s="24"/>
      <c r="E594" s="24"/>
    </row>
    <row r="595" spans="4:5" x14ac:dyDescent="0.25">
      <c r="D595" s="24"/>
      <c r="E595" s="24"/>
    </row>
    <row r="596" spans="4:5" x14ac:dyDescent="0.25">
      <c r="D596" s="24"/>
      <c r="E596" s="24"/>
    </row>
    <row r="597" spans="4:5" x14ac:dyDescent="0.25">
      <c r="D597" s="24"/>
      <c r="E597" s="24"/>
    </row>
    <row r="598" spans="4:5" x14ac:dyDescent="0.25">
      <c r="D598" s="24"/>
      <c r="E598" s="24"/>
    </row>
    <row r="599" spans="4:5" x14ac:dyDescent="0.25">
      <c r="D599" s="24"/>
      <c r="E599" s="24"/>
    </row>
    <row r="600" spans="4:5" x14ac:dyDescent="0.25">
      <c r="D600" s="24"/>
      <c r="E600" s="24"/>
    </row>
    <row r="601" spans="4:5" x14ac:dyDescent="0.25">
      <c r="D601" s="24"/>
      <c r="E601" s="24"/>
    </row>
    <row r="602" spans="4:5" x14ac:dyDescent="0.25">
      <c r="D602" s="24"/>
      <c r="E602" s="24"/>
    </row>
    <row r="603" spans="4:5" x14ac:dyDescent="0.25">
      <c r="D603" s="24"/>
      <c r="E603" s="24"/>
    </row>
    <row r="604" spans="4:5" x14ac:dyDescent="0.25">
      <c r="D604" s="24"/>
      <c r="E604" s="24"/>
    </row>
    <row r="605" spans="4:5" x14ac:dyDescent="0.25">
      <c r="D605" s="24"/>
      <c r="E605" s="24"/>
    </row>
    <row r="606" spans="4:5" x14ac:dyDescent="0.25">
      <c r="D606" s="24"/>
      <c r="E606" s="24"/>
    </row>
    <row r="607" spans="4:5" x14ac:dyDescent="0.25">
      <c r="D607" s="24"/>
      <c r="E607" s="24"/>
    </row>
    <row r="608" spans="4:5" x14ac:dyDescent="0.25">
      <c r="D608" s="24"/>
      <c r="E608" s="24"/>
    </row>
    <row r="609" spans="4:5" x14ac:dyDescent="0.25">
      <c r="D609" s="24"/>
      <c r="E609" s="24"/>
    </row>
    <row r="610" spans="4:5" x14ac:dyDescent="0.25">
      <c r="D610" s="24"/>
      <c r="E610" s="24"/>
    </row>
    <row r="611" spans="4:5" x14ac:dyDescent="0.25">
      <c r="D611" s="24"/>
      <c r="E611" s="24"/>
    </row>
    <row r="612" spans="4:5" x14ac:dyDescent="0.25">
      <c r="D612" s="24"/>
      <c r="E612" s="24"/>
    </row>
    <row r="613" spans="4:5" x14ac:dyDescent="0.25">
      <c r="D613" s="24"/>
      <c r="E613" s="24"/>
    </row>
    <row r="614" spans="4:5" x14ac:dyDescent="0.25">
      <c r="D614" s="24"/>
      <c r="E614" s="24"/>
    </row>
    <row r="615" spans="4:5" x14ac:dyDescent="0.25">
      <c r="D615" s="24"/>
      <c r="E615" s="24"/>
    </row>
    <row r="616" spans="4:5" x14ac:dyDescent="0.25">
      <c r="D616" s="24"/>
      <c r="E616" s="24"/>
    </row>
    <row r="617" spans="4:5" x14ac:dyDescent="0.25">
      <c r="D617" s="24"/>
      <c r="E617" s="24"/>
    </row>
    <row r="618" spans="4:5" x14ac:dyDescent="0.25">
      <c r="D618" s="24"/>
      <c r="E618" s="24"/>
    </row>
    <row r="619" spans="4:5" x14ac:dyDescent="0.25">
      <c r="D619" s="24"/>
      <c r="E619" s="24"/>
    </row>
    <row r="620" spans="4:5" x14ac:dyDescent="0.25">
      <c r="D620" s="24"/>
      <c r="E620" s="24"/>
    </row>
    <row r="621" spans="4:5" x14ac:dyDescent="0.25">
      <c r="D621" s="24"/>
      <c r="E621" s="24"/>
    </row>
    <row r="622" spans="4:5" x14ac:dyDescent="0.25">
      <c r="D622" s="24"/>
      <c r="E622" s="24"/>
    </row>
    <row r="623" spans="4:5" x14ac:dyDescent="0.25">
      <c r="D623" s="24"/>
      <c r="E623" s="24"/>
    </row>
    <row r="624" spans="4:5" x14ac:dyDescent="0.25">
      <c r="D624" s="24"/>
      <c r="E624" s="24"/>
    </row>
    <row r="625" spans="4:5" x14ac:dyDescent="0.25">
      <c r="D625" s="24"/>
      <c r="E625" s="24"/>
    </row>
    <row r="626" spans="4:5" x14ac:dyDescent="0.25">
      <c r="D626" s="24"/>
      <c r="E626" s="24"/>
    </row>
    <row r="627" spans="4:5" x14ac:dyDescent="0.25">
      <c r="D627" s="24"/>
      <c r="E627" s="24"/>
    </row>
    <row r="628" spans="4:5" x14ac:dyDescent="0.25">
      <c r="D628" s="24"/>
      <c r="E628" s="24"/>
    </row>
    <row r="629" spans="4:5" x14ac:dyDescent="0.25">
      <c r="D629" s="24"/>
      <c r="E629" s="24"/>
    </row>
    <row r="630" spans="4:5" x14ac:dyDescent="0.25">
      <c r="D630" s="24"/>
      <c r="E630" s="24"/>
    </row>
    <row r="631" spans="4:5" x14ac:dyDescent="0.25">
      <c r="D631" s="24"/>
      <c r="E631" s="24"/>
    </row>
    <row r="632" spans="4:5" x14ac:dyDescent="0.25">
      <c r="D632" s="24"/>
      <c r="E632" s="24"/>
    </row>
    <row r="633" spans="4:5" x14ac:dyDescent="0.25">
      <c r="D633" s="24"/>
      <c r="E633" s="24"/>
    </row>
    <row r="634" spans="4:5" x14ac:dyDescent="0.25">
      <c r="D634" s="24"/>
      <c r="E634" s="24"/>
    </row>
    <row r="635" spans="4:5" x14ac:dyDescent="0.25">
      <c r="D635" s="24"/>
      <c r="E635" s="24"/>
    </row>
    <row r="636" spans="4:5" x14ac:dyDescent="0.25">
      <c r="D636" s="24"/>
      <c r="E636" s="24"/>
    </row>
    <row r="637" spans="4:5" x14ac:dyDescent="0.25">
      <c r="D637" s="24"/>
      <c r="E637" s="24"/>
    </row>
    <row r="638" spans="4:5" x14ac:dyDescent="0.25">
      <c r="D638" s="24"/>
      <c r="E638" s="24"/>
    </row>
    <row r="639" spans="4:5" x14ac:dyDescent="0.25">
      <c r="D639" s="24"/>
      <c r="E639" s="24"/>
    </row>
    <row r="640" spans="4:5" x14ac:dyDescent="0.25">
      <c r="D640" s="24"/>
      <c r="E640" s="24"/>
    </row>
    <row r="641" spans="4:5" x14ac:dyDescent="0.25">
      <c r="D641" s="24"/>
      <c r="E641" s="24"/>
    </row>
    <row r="642" spans="4:5" x14ac:dyDescent="0.25">
      <c r="D642" s="24"/>
      <c r="E642" s="24"/>
    </row>
    <row r="643" spans="4:5" x14ac:dyDescent="0.25">
      <c r="D643" s="24"/>
      <c r="E643" s="24"/>
    </row>
    <row r="644" spans="4:5" x14ac:dyDescent="0.25">
      <c r="D644" s="24"/>
      <c r="E644" s="24"/>
    </row>
    <row r="645" spans="4:5" x14ac:dyDescent="0.25">
      <c r="D645" s="24"/>
      <c r="E645" s="24"/>
    </row>
    <row r="646" spans="4:5" x14ac:dyDescent="0.25">
      <c r="D646" s="24"/>
      <c r="E646" s="24"/>
    </row>
    <row r="647" spans="4:5" x14ac:dyDescent="0.25">
      <c r="D647" s="24"/>
      <c r="E647" s="24"/>
    </row>
    <row r="648" spans="4:5" x14ac:dyDescent="0.25">
      <c r="D648" s="24"/>
      <c r="E648" s="24"/>
    </row>
    <row r="649" spans="4:5" x14ac:dyDescent="0.25">
      <c r="D649" s="24"/>
      <c r="E649" s="24"/>
    </row>
    <row r="650" spans="4:5" x14ac:dyDescent="0.25">
      <c r="D650" s="24"/>
      <c r="E650" s="24"/>
    </row>
    <row r="651" spans="4:5" x14ac:dyDescent="0.25">
      <c r="D651" s="24"/>
      <c r="E651" s="24"/>
    </row>
    <row r="652" spans="4:5" x14ac:dyDescent="0.25">
      <c r="D652" s="24"/>
      <c r="E652" s="24"/>
    </row>
    <row r="653" spans="4:5" x14ac:dyDescent="0.25">
      <c r="D653" s="24"/>
      <c r="E653" s="24"/>
    </row>
    <row r="654" spans="4:5" x14ac:dyDescent="0.25">
      <c r="D654" s="24"/>
      <c r="E654" s="24"/>
    </row>
    <row r="655" spans="4:5" x14ac:dyDescent="0.25">
      <c r="D655" s="24"/>
      <c r="E655" s="24"/>
    </row>
    <row r="656" spans="4:5" x14ac:dyDescent="0.25">
      <c r="D656" s="24"/>
      <c r="E656" s="24"/>
    </row>
    <row r="657" spans="4:5" x14ac:dyDescent="0.25">
      <c r="D657" s="24"/>
      <c r="E657" s="24"/>
    </row>
    <row r="658" spans="4:5" x14ac:dyDescent="0.25">
      <c r="D658" s="24"/>
      <c r="E658" s="24"/>
    </row>
    <row r="659" spans="4:5" x14ac:dyDescent="0.25">
      <c r="D659" s="24"/>
      <c r="E659" s="24"/>
    </row>
    <row r="660" spans="4:5" x14ac:dyDescent="0.25">
      <c r="D660" s="24"/>
      <c r="E660" s="24"/>
    </row>
    <row r="661" spans="4:5" x14ac:dyDescent="0.25">
      <c r="D661" s="24"/>
      <c r="E661" s="24"/>
    </row>
    <row r="662" spans="4:5" x14ac:dyDescent="0.25">
      <c r="D662" s="24"/>
      <c r="E662" s="24"/>
    </row>
    <row r="663" spans="4:5" x14ac:dyDescent="0.25">
      <c r="D663" s="24"/>
      <c r="E663" s="24"/>
    </row>
    <row r="664" spans="4:5" x14ac:dyDescent="0.25">
      <c r="D664" s="24"/>
      <c r="E664" s="24"/>
    </row>
    <row r="665" spans="4:5" x14ac:dyDescent="0.25">
      <c r="D665" s="24"/>
      <c r="E665" s="24"/>
    </row>
    <row r="666" spans="4:5" x14ac:dyDescent="0.25">
      <c r="D666" s="24"/>
      <c r="E666" s="24"/>
    </row>
    <row r="667" spans="4:5" x14ac:dyDescent="0.25">
      <c r="D667" s="24"/>
      <c r="E667" s="24"/>
    </row>
    <row r="668" spans="4:5" x14ac:dyDescent="0.25">
      <c r="D668" s="24"/>
      <c r="E668" s="24"/>
    </row>
    <row r="669" spans="4:5" x14ac:dyDescent="0.25">
      <c r="D669" s="24"/>
      <c r="E669" s="24"/>
    </row>
    <row r="670" spans="4:5" x14ac:dyDescent="0.25">
      <c r="D670" s="24"/>
      <c r="E670" s="24"/>
    </row>
    <row r="671" spans="4:5" x14ac:dyDescent="0.25">
      <c r="D671" s="24"/>
      <c r="E671" s="24"/>
    </row>
    <row r="672" spans="4:5" x14ac:dyDescent="0.25">
      <c r="D672" s="24"/>
      <c r="E672" s="24"/>
    </row>
    <row r="673" spans="4:5" x14ac:dyDescent="0.25">
      <c r="D673" s="24"/>
      <c r="E673" s="24"/>
    </row>
    <row r="674" spans="4:5" x14ac:dyDescent="0.25">
      <c r="D674" s="24"/>
      <c r="E674" s="24"/>
    </row>
    <row r="675" spans="4:5" x14ac:dyDescent="0.25">
      <c r="D675" s="24"/>
      <c r="E675" s="24"/>
    </row>
    <row r="676" spans="4:5" x14ac:dyDescent="0.25">
      <c r="D676" s="24"/>
      <c r="E676" s="24"/>
    </row>
    <row r="677" spans="4:5" x14ac:dyDescent="0.25">
      <c r="D677" s="24"/>
      <c r="E677" s="24"/>
    </row>
    <row r="678" spans="4:5" x14ac:dyDescent="0.25">
      <c r="D678" s="24"/>
      <c r="E678" s="24"/>
    </row>
    <row r="679" spans="4:5" x14ac:dyDescent="0.25">
      <c r="D679" s="24"/>
      <c r="E679" s="24"/>
    </row>
    <row r="680" spans="4:5" x14ac:dyDescent="0.25">
      <c r="D680" s="24"/>
      <c r="E680" s="24"/>
    </row>
    <row r="681" spans="4:5" x14ac:dyDescent="0.25">
      <c r="D681" s="24"/>
      <c r="E681" s="24"/>
    </row>
    <row r="682" spans="4:5" x14ac:dyDescent="0.25">
      <c r="D682" s="24"/>
      <c r="E682" s="24"/>
    </row>
    <row r="683" spans="4:5" x14ac:dyDescent="0.25">
      <c r="D683" s="24"/>
      <c r="E683" s="24"/>
    </row>
    <row r="684" spans="4:5" x14ac:dyDescent="0.25">
      <c r="D684" s="24"/>
      <c r="E684" s="24"/>
    </row>
    <row r="685" spans="4:5" x14ac:dyDescent="0.25">
      <c r="D685" s="24"/>
      <c r="E685" s="24"/>
    </row>
    <row r="686" spans="4:5" x14ac:dyDescent="0.25">
      <c r="D686" s="24"/>
      <c r="E686" s="24"/>
    </row>
    <row r="687" spans="4:5" x14ac:dyDescent="0.25">
      <c r="D687" s="24"/>
      <c r="E687" s="24"/>
    </row>
    <row r="688" spans="4:5" x14ac:dyDescent="0.25">
      <c r="D688" s="24"/>
      <c r="E688" s="24"/>
    </row>
    <row r="689" spans="4:5" x14ac:dyDescent="0.25">
      <c r="D689" s="24"/>
      <c r="E689" s="24"/>
    </row>
    <row r="690" spans="4:5" x14ac:dyDescent="0.25">
      <c r="D690" s="24"/>
      <c r="E690" s="24"/>
    </row>
    <row r="691" spans="4:5" x14ac:dyDescent="0.25">
      <c r="D691" s="24"/>
      <c r="E691" s="24"/>
    </row>
    <row r="692" spans="4:5" x14ac:dyDescent="0.25">
      <c r="D692" s="24"/>
      <c r="E692" s="24"/>
    </row>
    <row r="693" spans="4:5" x14ac:dyDescent="0.25">
      <c r="D693" s="24"/>
      <c r="E693" s="24"/>
    </row>
    <row r="694" spans="4:5" x14ac:dyDescent="0.25">
      <c r="D694" s="24"/>
      <c r="E694" s="24"/>
    </row>
    <row r="695" spans="4:5" x14ac:dyDescent="0.25">
      <c r="D695" s="24"/>
      <c r="E695" s="24"/>
    </row>
    <row r="696" spans="4:5" x14ac:dyDescent="0.25">
      <c r="D696" s="24"/>
      <c r="E696" s="24"/>
    </row>
    <row r="697" spans="4:5" x14ac:dyDescent="0.25">
      <c r="D697" s="24"/>
      <c r="E697" s="24"/>
    </row>
    <row r="698" spans="4:5" x14ac:dyDescent="0.25">
      <c r="D698" s="24"/>
      <c r="E698" s="24"/>
    </row>
    <row r="699" spans="4:5" x14ac:dyDescent="0.25">
      <c r="D699" s="24"/>
      <c r="E699" s="24"/>
    </row>
    <row r="700" spans="4:5" x14ac:dyDescent="0.25">
      <c r="D700" s="24"/>
      <c r="E700" s="24"/>
    </row>
    <row r="701" spans="4:5" x14ac:dyDescent="0.25">
      <c r="D701" s="24"/>
      <c r="E701" s="24"/>
    </row>
    <row r="702" spans="4:5" x14ac:dyDescent="0.25">
      <c r="D702" s="24"/>
      <c r="E702" s="24"/>
    </row>
    <row r="703" spans="4:5" x14ac:dyDescent="0.25">
      <c r="D703" s="24"/>
      <c r="E703" s="24"/>
    </row>
    <row r="704" spans="4:5" x14ac:dyDescent="0.25">
      <c r="D704" s="24"/>
      <c r="E704" s="24"/>
    </row>
    <row r="705" spans="4:5" x14ac:dyDescent="0.25">
      <c r="D705" s="24"/>
      <c r="E705" s="24"/>
    </row>
    <row r="706" spans="4:5" x14ac:dyDescent="0.25">
      <c r="D706" s="24"/>
      <c r="E706" s="24"/>
    </row>
    <row r="707" spans="4:5" x14ac:dyDescent="0.25">
      <c r="D707" s="24"/>
      <c r="E707" s="24"/>
    </row>
    <row r="708" spans="4:5" x14ac:dyDescent="0.25">
      <c r="D708" s="24"/>
      <c r="E708" s="24"/>
    </row>
    <row r="709" spans="4:5" x14ac:dyDescent="0.25">
      <c r="D709" s="24"/>
      <c r="E709" s="24"/>
    </row>
    <row r="710" spans="4:5" x14ac:dyDescent="0.25">
      <c r="D710" s="24"/>
      <c r="E710" s="24"/>
    </row>
    <row r="711" spans="4:5" x14ac:dyDescent="0.25">
      <c r="D711" s="24"/>
      <c r="E711" s="24"/>
    </row>
    <row r="712" spans="4:5" x14ac:dyDescent="0.25">
      <c r="D712" s="24"/>
      <c r="E712" s="24"/>
    </row>
    <row r="713" spans="4:5" x14ac:dyDescent="0.25">
      <c r="D713" s="24"/>
      <c r="E713" s="24"/>
    </row>
    <row r="714" spans="4:5" x14ac:dyDescent="0.25">
      <c r="D714" s="24"/>
      <c r="E714" s="24"/>
    </row>
    <row r="715" spans="4:5" x14ac:dyDescent="0.25">
      <c r="D715" s="24"/>
      <c r="E715" s="24"/>
    </row>
    <row r="716" spans="4:5" x14ac:dyDescent="0.25">
      <c r="D716" s="24"/>
      <c r="E716" s="24"/>
    </row>
    <row r="717" spans="4:5" x14ac:dyDescent="0.25">
      <c r="D717" s="24"/>
      <c r="E717" s="24"/>
    </row>
    <row r="718" spans="4:5" x14ac:dyDescent="0.25">
      <c r="D718" s="24"/>
      <c r="E718" s="24"/>
    </row>
    <row r="719" spans="4:5" x14ac:dyDescent="0.25">
      <c r="D719" s="24"/>
      <c r="E719" s="24"/>
    </row>
    <row r="720" spans="4:5" x14ac:dyDescent="0.25">
      <c r="D720" s="24"/>
      <c r="E720" s="24"/>
    </row>
    <row r="721" spans="4:5" x14ac:dyDescent="0.25">
      <c r="D721" s="24"/>
      <c r="E721" s="24"/>
    </row>
    <row r="722" spans="4:5" x14ac:dyDescent="0.25">
      <c r="D722" s="24"/>
      <c r="E722" s="24"/>
    </row>
    <row r="723" spans="4:5" x14ac:dyDescent="0.25">
      <c r="D723" s="24"/>
      <c r="E723" s="24"/>
    </row>
    <row r="724" spans="4:5" x14ac:dyDescent="0.25">
      <c r="D724" s="24"/>
      <c r="E724" s="24"/>
    </row>
    <row r="725" spans="4:5" x14ac:dyDescent="0.25">
      <c r="D725" s="24"/>
      <c r="E725" s="24"/>
    </row>
    <row r="726" spans="4:5" x14ac:dyDescent="0.25">
      <c r="D726" s="24"/>
      <c r="E726" s="24"/>
    </row>
    <row r="727" spans="4:5" x14ac:dyDescent="0.25">
      <c r="D727" s="24"/>
      <c r="E727" s="24"/>
    </row>
    <row r="728" spans="4:5" x14ac:dyDescent="0.25">
      <c r="D728" s="24"/>
      <c r="E728" s="24"/>
    </row>
    <row r="729" spans="4:5" x14ac:dyDescent="0.25">
      <c r="D729" s="24"/>
      <c r="E729" s="24"/>
    </row>
    <row r="730" spans="4:5" x14ac:dyDescent="0.25">
      <c r="D730" s="24"/>
      <c r="E730" s="24"/>
    </row>
    <row r="731" spans="4:5" x14ac:dyDescent="0.25">
      <c r="D731" s="24"/>
      <c r="E731" s="24"/>
    </row>
    <row r="732" spans="4:5" x14ac:dyDescent="0.25">
      <c r="D732" s="24"/>
      <c r="E732" s="24"/>
    </row>
    <row r="733" spans="4:5" x14ac:dyDescent="0.25">
      <c r="D733" s="24"/>
      <c r="E733" s="24"/>
    </row>
    <row r="734" spans="4:5" x14ac:dyDescent="0.25">
      <c r="D734" s="24"/>
      <c r="E734" s="24"/>
    </row>
    <row r="735" spans="4:5" x14ac:dyDescent="0.25">
      <c r="D735" s="24"/>
      <c r="E735" s="24"/>
    </row>
    <row r="736" spans="4:5" x14ac:dyDescent="0.25">
      <c r="D736" s="24"/>
      <c r="E736" s="24"/>
    </row>
    <row r="737" spans="4:5" x14ac:dyDescent="0.25">
      <c r="D737" s="24"/>
      <c r="E737" s="24"/>
    </row>
    <row r="738" spans="4:5" x14ac:dyDescent="0.25">
      <c r="D738" s="24"/>
      <c r="E738" s="24"/>
    </row>
    <row r="739" spans="4:5" x14ac:dyDescent="0.25">
      <c r="D739" s="24"/>
      <c r="E739" s="24"/>
    </row>
    <row r="740" spans="4:5" x14ac:dyDescent="0.25">
      <c r="D740" s="24"/>
      <c r="E740" s="24"/>
    </row>
    <row r="741" spans="4:5" x14ac:dyDescent="0.25">
      <c r="D741" s="24"/>
      <c r="E741" s="24"/>
    </row>
    <row r="742" spans="4:5" x14ac:dyDescent="0.25">
      <c r="D742" s="24"/>
      <c r="E742" s="24"/>
    </row>
    <row r="743" spans="4:5" x14ac:dyDescent="0.25">
      <c r="D743" s="24"/>
      <c r="E743" s="24"/>
    </row>
    <row r="744" spans="4:5" x14ac:dyDescent="0.25">
      <c r="D744" s="24"/>
      <c r="E744" s="24"/>
    </row>
    <row r="745" spans="4:5" x14ac:dyDescent="0.25">
      <c r="D745" s="24"/>
      <c r="E745" s="24"/>
    </row>
    <row r="746" spans="4:5" x14ac:dyDescent="0.25">
      <c r="D746" s="24"/>
      <c r="E746" s="24"/>
    </row>
    <row r="747" spans="4:5" x14ac:dyDescent="0.25">
      <c r="D747" s="24"/>
      <c r="E747" s="24"/>
    </row>
    <row r="748" spans="4:5" x14ac:dyDescent="0.25">
      <c r="D748" s="24"/>
      <c r="E748" s="24"/>
    </row>
    <row r="749" spans="4:5" x14ac:dyDescent="0.25">
      <c r="D749" s="24"/>
      <c r="E749" s="24"/>
    </row>
    <row r="750" spans="4:5" x14ac:dyDescent="0.25">
      <c r="D750" s="24"/>
      <c r="E750" s="24"/>
    </row>
    <row r="751" spans="4:5" x14ac:dyDescent="0.25">
      <c r="D751" s="24"/>
      <c r="E751" s="24"/>
    </row>
    <row r="752" spans="4:5" x14ac:dyDescent="0.25">
      <c r="D752" s="24"/>
      <c r="E752" s="24"/>
    </row>
    <row r="753" spans="4:5" x14ac:dyDescent="0.25">
      <c r="D753" s="24"/>
      <c r="E753" s="24"/>
    </row>
    <row r="754" spans="4:5" x14ac:dyDescent="0.25">
      <c r="D754" s="24"/>
      <c r="E754" s="24"/>
    </row>
    <row r="755" spans="4:5" x14ac:dyDescent="0.25">
      <c r="D755" s="24"/>
      <c r="E755" s="24"/>
    </row>
    <row r="756" spans="4:5" x14ac:dyDescent="0.25">
      <c r="D756" s="24"/>
      <c r="E756" s="24"/>
    </row>
    <row r="757" spans="4:5" x14ac:dyDescent="0.25">
      <c r="D757" s="24"/>
      <c r="E757" s="24"/>
    </row>
    <row r="758" spans="4:5" x14ac:dyDescent="0.25">
      <c r="D758" s="24"/>
      <c r="E758" s="24"/>
    </row>
    <row r="759" spans="4:5" x14ac:dyDescent="0.25">
      <c r="D759" s="24"/>
      <c r="E759" s="24"/>
    </row>
    <row r="760" spans="4:5" x14ac:dyDescent="0.25">
      <c r="D760" s="24"/>
      <c r="E760" s="24"/>
    </row>
    <row r="761" spans="4:5" x14ac:dyDescent="0.25">
      <c r="D761" s="24"/>
      <c r="E761" s="24"/>
    </row>
    <row r="762" spans="4:5" x14ac:dyDescent="0.25">
      <c r="D762" s="24"/>
      <c r="E762" s="24"/>
    </row>
    <row r="763" spans="4:5" x14ac:dyDescent="0.25">
      <c r="D763" s="24"/>
      <c r="E763" s="24"/>
    </row>
    <row r="764" spans="4:5" x14ac:dyDescent="0.25">
      <c r="D764" s="24"/>
      <c r="E764" s="24"/>
    </row>
    <row r="765" spans="4:5" x14ac:dyDescent="0.25">
      <c r="D765" s="24"/>
      <c r="E765" s="24"/>
    </row>
    <row r="766" spans="4:5" x14ac:dyDescent="0.25">
      <c r="D766" s="24"/>
      <c r="E766" s="24"/>
    </row>
    <row r="767" spans="4:5" x14ac:dyDescent="0.25">
      <c r="D767" s="24"/>
      <c r="E767" s="24"/>
    </row>
    <row r="768" spans="4:5" x14ac:dyDescent="0.25">
      <c r="D768" s="24"/>
      <c r="E768" s="24"/>
    </row>
    <row r="769" spans="4:5" x14ac:dyDescent="0.25">
      <c r="D769" s="24"/>
      <c r="E769" s="24"/>
    </row>
    <row r="770" spans="4:5" x14ac:dyDescent="0.25">
      <c r="D770" s="24"/>
      <c r="E770" s="24"/>
    </row>
    <row r="771" spans="4:5" x14ac:dyDescent="0.25">
      <c r="D771" s="24"/>
      <c r="E771" s="24"/>
    </row>
    <row r="772" spans="4:5" x14ac:dyDescent="0.25">
      <c r="D772" s="24"/>
      <c r="E772" s="24"/>
    </row>
    <row r="773" spans="4:5" x14ac:dyDescent="0.25">
      <c r="D773" s="24"/>
      <c r="E773" s="24"/>
    </row>
    <row r="774" spans="4:5" x14ac:dyDescent="0.25">
      <c r="D774" s="24"/>
      <c r="E774" s="24"/>
    </row>
    <row r="775" spans="4:5" x14ac:dyDescent="0.25">
      <c r="D775" s="24"/>
      <c r="E775" s="24"/>
    </row>
    <row r="776" spans="4:5" x14ac:dyDescent="0.25">
      <c r="D776" s="24"/>
      <c r="E776" s="24"/>
    </row>
    <row r="777" spans="4:5" x14ac:dyDescent="0.25">
      <c r="D777" s="24"/>
      <c r="E777" s="24"/>
    </row>
    <row r="778" spans="4:5" x14ac:dyDescent="0.25">
      <c r="D778" s="24"/>
      <c r="E778" s="24"/>
    </row>
    <row r="779" spans="4:5" x14ac:dyDescent="0.25">
      <c r="D779" s="24"/>
      <c r="E779" s="24"/>
    </row>
    <row r="780" spans="4:5" x14ac:dyDescent="0.25">
      <c r="D780" s="24"/>
      <c r="E780" s="24"/>
    </row>
    <row r="781" spans="4:5" x14ac:dyDescent="0.25">
      <c r="D781" s="24"/>
      <c r="E781" s="24"/>
    </row>
    <row r="782" spans="4:5" x14ac:dyDescent="0.25">
      <c r="D782" s="24"/>
      <c r="E782" s="24"/>
    </row>
    <row r="783" spans="4:5" x14ac:dyDescent="0.25">
      <c r="D783" s="24"/>
      <c r="E783" s="24"/>
    </row>
    <row r="784" spans="4:5" x14ac:dyDescent="0.25">
      <c r="D784" s="24"/>
      <c r="E784" s="24"/>
    </row>
    <row r="785" spans="4:5" x14ac:dyDescent="0.25">
      <c r="D785" s="24"/>
      <c r="E785" s="24"/>
    </row>
    <row r="786" spans="4:5" x14ac:dyDescent="0.25">
      <c r="D786" s="24"/>
      <c r="E786" s="24"/>
    </row>
    <row r="787" spans="4:5" x14ac:dyDescent="0.25">
      <c r="D787" s="24"/>
      <c r="E787" s="24"/>
    </row>
    <row r="788" spans="4:5" x14ac:dyDescent="0.25">
      <c r="D788" s="24"/>
      <c r="E788" s="24"/>
    </row>
    <row r="789" spans="4:5" x14ac:dyDescent="0.25">
      <c r="D789" s="24"/>
      <c r="E789" s="24"/>
    </row>
    <row r="790" spans="4:5" x14ac:dyDescent="0.25">
      <c r="D790" s="24"/>
      <c r="E790" s="24"/>
    </row>
    <row r="791" spans="4:5" x14ac:dyDescent="0.25">
      <c r="D791" s="24"/>
      <c r="E791" s="24"/>
    </row>
    <row r="792" spans="4:5" x14ac:dyDescent="0.25">
      <c r="D792" s="24"/>
      <c r="E792" s="24"/>
    </row>
    <row r="793" spans="4:5" x14ac:dyDescent="0.25">
      <c r="D793" s="24"/>
      <c r="E793" s="24"/>
    </row>
    <row r="794" spans="4:5" x14ac:dyDescent="0.25">
      <c r="D794" s="24"/>
      <c r="E794" s="24"/>
    </row>
    <row r="795" spans="4:5" x14ac:dyDescent="0.25">
      <c r="D795" s="24"/>
      <c r="E795" s="24"/>
    </row>
    <row r="796" spans="4:5" x14ac:dyDescent="0.25">
      <c r="D796" s="24"/>
      <c r="E796" s="24"/>
    </row>
    <row r="797" spans="4:5" x14ac:dyDescent="0.25">
      <c r="D797" s="24"/>
      <c r="E797" s="24"/>
    </row>
    <row r="798" spans="4:5" x14ac:dyDescent="0.25">
      <c r="D798" s="24"/>
      <c r="E798" s="24"/>
    </row>
    <row r="799" spans="4:5" x14ac:dyDescent="0.25">
      <c r="D799" s="24"/>
      <c r="E799" s="24"/>
    </row>
    <row r="800" spans="4:5" x14ac:dyDescent="0.25">
      <c r="D800" s="24"/>
      <c r="E800" s="24"/>
    </row>
    <row r="801" spans="4:5" x14ac:dyDescent="0.25">
      <c r="D801" s="24"/>
      <c r="E801" s="24"/>
    </row>
    <row r="802" spans="4:5" x14ac:dyDescent="0.25">
      <c r="D802" s="24"/>
      <c r="E802" s="24"/>
    </row>
    <row r="803" spans="4:5" x14ac:dyDescent="0.25">
      <c r="D803" s="24"/>
      <c r="E803" s="24"/>
    </row>
    <row r="804" spans="4:5" x14ac:dyDescent="0.25">
      <c r="D804" s="24"/>
      <c r="E804" s="24"/>
    </row>
    <row r="805" spans="4:5" x14ac:dyDescent="0.25">
      <c r="D805" s="24"/>
      <c r="E805" s="24"/>
    </row>
    <row r="806" spans="4:5" x14ac:dyDescent="0.25">
      <c r="D806" s="24"/>
      <c r="E806" s="24"/>
    </row>
    <row r="807" spans="4:5" x14ac:dyDescent="0.25">
      <c r="D807" s="24"/>
      <c r="E807" s="24"/>
    </row>
    <row r="808" spans="4:5" x14ac:dyDescent="0.25">
      <c r="D808" s="24"/>
      <c r="E808" s="24"/>
    </row>
    <row r="809" spans="4:5" x14ac:dyDescent="0.25">
      <c r="D809" s="24"/>
      <c r="E809" s="24"/>
    </row>
    <row r="810" spans="4:5" x14ac:dyDescent="0.25">
      <c r="D810" s="24"/>
      <c r="E810" s="24"/>
    </row>
    <row r="811" spans="4:5" x14ac:dyDescent="0.25">
      <c r="D811" s="24"/>
      <c r="E811" s="24"/>
    </row>
    <row r="812" spans="4:5" x14ac:dyDescent="0.25">
      <c r="D812" s="24"/>
      <c r="E812" s="24"/>
    </row>
    <row r="813" spans="4:5" x14ac:dyDescent="0.25">
      <c r="D813" s="24"/>
      <c r="E813" s="24"/>
    </row>
    <row r="814" spans="4:5" x14ac:dyDescent="0.25">
      <c r="D814" s="24"/>
      <c r="E814" s="24"/>
    </row>
    <row r="815" spans="4:5" x14ac:dyDescent="0.25">
      <c r="D815" s="24"/>
      <c r="E815" s="24"/>
    </row>
    <row r="816" spans="4:5" x14ac:dyDescent="0.25">
      <c r="D816" s="24"/>
      <c r="E816" s="24"/>
    </row>
    <row r="817" spans="4:5" x14ac:dyDescent="0.25">
      <c r="D817" s="24"/>
      <c r="E817" s="24"/>
    </row>
    <row r="818" spans="4:5" x14ac:dyDescent="0.25">
      <c r="D818" s="24"/>
      <c r="E818" s="24"/>
    </row>
    <row r="819" spans="4:5" x14ac:dyDescent="0.25">
      <c r="D819" s="24"/>
      <c r="E819" s="24"/>
    </row>
    <row r="820" spans="4:5" x14ac:dyDescent="0.25">
      <c r="D820" s="24"/>
      <c r="E820" s="24"/>
    </row>
    <row r="821" spans="4:5" x14ac:dyDescent="0.25">
      <c r="D821" s="24"/>
      <c r="E821" s="24"/>
    </row>
    <row r="822" spans="4:5" x14ac:dyDescent="0.25">
      <c r="D822" s="24"/>
      <c r="E822" s="24"/>
    </row>
    <row r="823" spans="4:5" x14ac:dyDescent="0.25">
      <c r="D823" s="24"/>
      <c r="E823" s="24"/>
    </row>
    <row r="824" spans="4:5" x14ac:dyDescent="0.25">
      <c r="D824" s="24"/>
      <c r="E824" s="24"/>
    </row>
    <row r="825" spans="4:5" x14ac:dyDescent="0.25">
      <c r="D825" s="24"/>
      <c r="E825" s="24"/>
    </row>
    <row r="826" spans="4:5" x14ac:dyDescent="0.25">
      <c r="D826" s="24"/>
      <c r="E826" s="24"/>
    </row>
    <row r="827" spans="4:5" x14ac:dyDescent="0.25">
      <c r="D827" s="24"/>
      <c r="E827" s="24"/>
    </row>
    <row r="828" spans="4:5" x14ac:dyDescent="0.25">
      <c r="D828" s="24"/>
      <c r="E828" s="24"/>
    </row>
    <row r="829" spans="4:5" x14ac:dyDescent="0.25">
      <c r="D829" s="24"/>
      <c r="E829" s="24"/>
    </row>
    <row r="830" spans="4:5" x14ac:dyDescent="0.25">
      <c r="D830" s="24"/>
      <c r="E830" s="24"/>
    </row>
    <row r="831" spans="4:5" x14ac:dyDescent="0.25">
      <c r="D831" s="24"/>
      <c r="E831" s="24"/>
    </row>
    <row r="832" spans="4:5" x14ac:dyDescent="0.25">
      <c r="D832" s="24"/>
      <c r="E832" s="24"/>
    </row>
    <row r="833" spans="4:5" x14ac:dyDescent="0.25">
      <c r="D833" s="24"/>
      <c r="E833" s="24"/>
    </row>
    <row r="834" spans="4:5" x14ac:dyDescent="0.25">
      <c r="D834" s="24"/>
      <c r="E834" s="24"/>
    </row>
    <row r="835" spans="4:5" x14ac:dyDescent="0.25">
      <c r="D835" s="24"/>
      <c r="E835" s="24"/>
    </row>
    <row r="836" spans="4:5" x14ac:dyDescent="0.25">
      <c r="D836" s="24"/>
      <c r="E836" s="24"/>
    </row>
    <row r="837" spans="4:5" x14ac:dyDescent="0.25">
      <c r="D837" s="24"/>
      <c r="E837" s="24"/>
    </row>
    <row r="838" spans="4:5" x14ac:dyDescent="0.25">
      <c r="D838" s="24"/>
      <c r="E838" s="24"/>
    </row>
    <row r="839" spans="4:5" x14ac:dyDescent="0.25">
      <c r="D839" s="24"/>
      <c r="E839" s="24"/>
    </row>
    <row r="840" spans="4:5" x14ac:dyDescent="0.25">
      <c r="D840" s="24"/>
      <c r="E840" s="24"/>
    </row>
    <row r="841" spans="4:5" x14ac:dyDescent="0.25">
      <c r="D841" s="24"/>
      <c r="E841" s="24"/>
    </row>
    <row r="842" spans="4:5" x14ac:dyDescent="0.25">
      <c r="D842" s="24"/>
      <c r="E842" s="24"/>
    </row>
    <row r="843" spans="4:5" x14ac:dyDescent="0.25">
      <c r="D843" s="24"/>
      <c r="E843" s="24"/>
    </row>
    <row r="844" spans="4:5" x14ac:dyDescent="0.25">
      <c r="D844" s="24"/>
      <c r="E844" s="24"/>
    </row>
    <row r="845" spans="4:5" x14ac:dyDescent="0.25">
      <c r="D845" s="24"/>
      <c r="E845" s="24"/>
    </row>
    <row r="846" spans="4:5" x14ac:dyDescent="0.25">
      <c r="D846" s="24"/>
      <c r="E846" s="24"/>
    </row>
    <row r="847" spans="4:5" x14ac:dyDescent="0.25">
      <c r="D847" s="24"/>
      <c r="E847" s="24"/>
    </row>
    <row r="848" spans="4:5" x14ac:dyDescent="0.25">
      <c r="D848" s="24"/>
      <c r="E848" s="24"/>
    </row>
    <row r="849" spans="4:5" x14ac:dyDescent="0.25">
      <c r="D849" s="24"/>
      <c r="E849" s="24"/>
    </row>
    <row r="850" spans="4:5" x14ac:dyDescent="0.25">
      <c r="D850" s="24"/>
      <c r="E850" s="24"/>
    </row>
    <row r="851" spans="4:5" x14ac:dyDescent="0.25">
      <c r="D851" s="24"/>
      <c r="E851" s="24"/>
    </row>
    <row r="852" spans="4:5" x14ac:dyDescent="0.25">
      <c r="D852" s="24"/>
      <c r="E852" s="24"/>
    </row>
    <row r="853" spans="4:5" x14ac:dyDescent="0.25">
      <c r="D853" s="24"/>
      <c r="E853" s="24"/>
    </row>
    <row r="854" spans="4:5" x14ac:dyDescent="0.25">
      <c r="D854" s="24"/>
      <c r="E854" s="24"/>
    </row>
    <row r="855" spans="4:5" x14ac:dyDescent="0.25">
      <c r="D855" s="24"/>
      <c r="E855" s="24"/>
    </row>
    <row r="856" spans="4:5" x14ac:dyDescent="0.25">
      <c r="D856" s="24"/>
      <c r="E856" s="24"/>
    </row>
    <row r="857" spans="4:5" x14ac:dyDescent="0.25">
      <c r="D857" s="24"/>
      <c r="E857" s="24"/>
    </row>
    <row r="858" spans="4:5" x14ac:dyDescent="0.25">
      <c r="D858" s="24"/>
      <c r="E858" s="24"/>
    </row>
    <row r="859" spans="4:5" x14ac:dyDescent="0.25">
      <c r="D859" s="24"/>
      <c r="E859" s="24"/>
    </row>
    <row r="860" spans="4:5" x14ac:dyDescent="0.25">
      <c r="D860" s="24"/>
      <c r="E860" s="24"/>
    </row>
    <row r="861" spans="4:5" x14ac:dyDescent="0.25">
      <c r="D861" s="24"/>
      <c r="E861" s="24"/>
    </row>
    <row r="862" spans="4:5" x14ac:dyDescent="0.25">
      <c r="D862" s="24"/>
      <c r="E862" s="24"/>
    </row>
    <row r="863" spans="4:5" x14ac:dyDescent="0.25">
      <c r="D863" s="24"/>
      <c r="E863" s="24"/>
    </row>
    <row r="864" spans="4:5" x14ac:dyDescent="0.25">
      <c r="D864" s="24"/>
      <c r="E864" s="24"/>
    </row>
    <row r="865" spans="4:5" x14ac:dyDescent="0.25">
      <c r="D865" s="24"/>
      <c r="E865" s="24"/>
    </row>
    <row r="866" spans="4:5" x14ac:dyDescent="0.25">
      <c r="D866" s="24"/>
      <c r="E866" s="24"/>
    </row>
    <row r="867" spans="4:5" x14ac:dyDescent="0.25">
      <c r="D867" s="24"/>
      <c r="E867" s="24"/>
    </row>
    <row r="868" spans="4:5" x14ac:dyDescent="0.25">
      <c r="D868" s="24"/>
      <c r="E868" s="24"/>
    </row>
    <row r="869" spans="4:5" x14ac:dyDescent="0.25">
      <c r="D869" s="24"/>
      <c r="E869" s="24"/>
    </row>
    <row r="870" spans="4:5" x14ac:dyDescent="0.25">
      <c r="D870" s="24"/>
      <c r="E870" s="24"/>
    </row>
    <row r="871" spans="4:5" x14ac:dyDescent="0.25">
      <c r="D871" s="24"/>
      <c r="E871" s="24"/>
    </row>
    <row r="872" spans="4:5" x14ac:dyDescent="0.25">
      <c r="D872" s="24"/>
      <c r="E872" s="24"/>
    </row>
    <row r="873" spans="4:5" x14ac:dyDescent="0.25">
      <c r="D873" s="24"/>
      <c r="E873" s="24"/>
    </row>
    <row r="874" spans="4:5" x14ac:dyDescent="0.25">
      <c r="D874" s="24"/>
      <c r="E874" s="24"/>
    </row>
    <row r="875" spans="4:5" x14ac:dyDescent="0.25">
      <c r="D875" s="24"/>
      <c r="E875" s="24"/>
    </row>
    <row r="876" spans="4:5" x14ac:dyDescent="0.25">
      <c r="D876" s="24"/>
      <c r="E876" s="24"/>
    </row>
    <row r="877" spans="4:5" x14ac:dyDescent="0.25">
      <c r="D877" s="24"/>
      <c r="E877" s="24"/>
    </row>
    <row r="878" spans="4:5" x14ac:dyDescent="0.25">
      <c r="D878" s="24"/>
      <c r="E878" s="24"/>
    </row>
    <row r="879" spans="4:5" x14ac:dyDescent="0.25">
      <c r="D879" s="24"/>
      <c r="E879" s="24"/>
    </row>
    <row r="880" spans="4:5" x14ac:dyDescent="0.25">
      <c r="D880" s="24"/>
      <c r="E880" s="24"/>
    </row>
    <row r="881" spans="4:5" x14ac:dyDescent="0.25">
      <c r="D881" s="24"/>
      <c r="E881" s="24"/>
    </row>
    <row r="882" spans="4:5" x14ac:dyDescent="0.25">
      <c r="D882" s="24"/>
      <c r="E882" s="24"/>
    </row>
    <row r="883" spans="4:5" x14ac:dyDescent="0.25">
      <c r="D883" s="24"/>
      <c r="E883" s="24"/>
    </row>
    <row r="884" spans="4:5" x14ac:dyDescent="0.25">
      <c r="D884" s="24"/>
      <c r="E884" s="24"/>
    </row>
    <row r="885" spans="4:5" x14ac:dyDescent="0.25">
      <c r="D885" s="24"/>
      <c r="E885" s="24"/>
    </row>
    <row r="886" spans="4:5" x14ac:dyDescent="0.25">
      <c r="D886" s="24"/>
      <c r="E886" s="24"/>
    </row>
    <row r="887" spans="4:5" x14ac:dyDescent="0.25">
      <c r="D887" s="24"/>
      <c r="E887" s="24"/>
    </row>
    <row r="888" spans="4:5" x14ac:dyDescent="0.25">
      <c r="D888" s="24"/>
      <c r="E888" s="24"/>
    </row>
    <row r="889" spans="4:5" x14ac:dyDescent="0.25">
      <c r="D889" s="24"/>
      <c r="E889" s="24"/>
    </row>
    <row r="890" spans="4:5" x14ac:dyDescent="0.25">
      <c r="D890" s="24"/>
      <c r="E890" s="24"/>
    </row>
    <row r="891" spans="4:5" x14ac:dyDescent="0.25">
      <c r="D891" s="24"/>
      <c r="E891" s="24"/>
    </row>
    <row r="892" spans="4:5" x14ac:dyDescent="0.25">
      <c r="D892" s="24"/>
      <c r="E892" s="24"/>
    </row>
    <row r="893" spans="4:5" x14ac:dyDescent="0.25">
      <c r="D893" s="24"/>
      <c r="E893" s="24"/>
    </row>
    <row r="894" spans="4:5" x14ac:dyDescent="0.25">
      <c r="D894" s="24"/>
      <c r="E894" s="24"/>
    </row>
    <row r="895" spans="4:5" x14ac:dyDescent="0.25">
      <c r="D895" s="24"/>
      <c r="E895" s="24"/>
    </row>
    <row r="896" spans="4:5" x14ac:dyDescent="0.25">
      <c r="D896" s="24"/>
      <c r="E896" s="24"/>
    </row>
    <row r="897" spans="4:5" x14ac:dyDescent="0.25">
      <c r="D897" s="24"/>
      <c r="E897" s="24"/>
    </row>
    <row r="898" spans="4:5" x14ac:dyDescent="0.25">
      <c r="D898" s="24"/>
      <c r="E898" s="24"/>
    </row>
    <row r="899" spans="4:5" x14ac:dyDescent="0.25">
      <c r="D899" s="24"/>
      <c r="E899" s="24"/>
    </row>
    <row r="900" spans="4:5" x14ac:dyDescent="0.25">
      <c r="D900" s="24"/>
      <c r="E900" s="24"/>
    </row>
    <row r="901" spans="4:5" x14ac:dyDescent="0.25">
      <c r="D901" s="24"/>
      <c r="E901" s="24"/>
    </row>
    <row r="902" spans="4:5" x14ac:dyDescent="0.25">
      <c r="D902" s="24"/>
      <c r="E902" s="24"/>
    </row>
    <row r="903" spans="4:5" x14ac:dyDescent="0.25">
      <c r="D903" s="24"/>
      <c r="E903" s="24"/>
    </row>
    <row r="904" spans="4:5" x14ac:dyDescent="0.25">
      <c r="D904" s="24"/>
      <c r="E904" s="24"/>
    </row>
    <row r="905" spans="4:5" x14ac:dyDescent="0.25">
      <c r="D905" s="24"/>
      <c r="E905" s="24"/>
    </row>
    <row r="906" spans="4:5" x14ac:dyDescent="0.25">
      <c r="D906" s="24"/>
      <c r="E906" s="24"/>
    </row>
    <row r="907" spans="4:5" x14ac:dyDescent="0.25">
      <c r="D907" s="24"/>
      <c r="E907" s="24"/>
    </row>
    <row r="908" spans="4:5" x14ac:dyDescent="0.25">
      <c r="D908" s="24"/>
      <c r="E908" s="24"/>
    </row>
    <row r="909" spans="4:5" x14ac:dyDescent="0.25">
      <c r="D909" s="24"/>
      <c r="E909" s="24"/>
    </row>
    <row r="910" spans="4:5" x14ac:dyDescent="0.25">
      <c r="D910" s="24"/>
      <c r="E910" s="24"/>
    </row>
    <row r="911" spans="4:5" x14ac:dyDescent="0.25">
      <c r="D911" s="24"/>
      <c r="E911" s="24"/>
    </row>
    <row r="912" spans="4:5" x14ac:dyDescent="0.25">
      <c r="D912" s="24"/>
      <c r="E912" s="24"/>
    </row>
    <row r="913" spans="4:5" x14ac:dyDescent="0.25">
      <c r="D913" s="24"/>
      <c r="E913" s="24"/>
    </row>
    <row r="914" spans="4:5" x14ac:dyDescent="0.25">
      <c r="D914" s="24"/>
      <c r="E914" s="24"/>
    </row>
    <row r="915" spans="4:5" x14ac:dyDescent="0.25">
      <c r="D915" s="24"/>
      <c r="E915" s="24"/>
    </row>
    <row r="916" spans="4:5" x14ac:dyDescent="0.25">
      <c r="D916" s="24"/>
      <c r="E916" s="24"/>
    </row>
    <row r="917" spans="4:5" x14ac:dyDescent="0.25">
      <c r="D917" s="24"/>
      <c r="E917" s="24"/>
    </row>
    <row r="918" spans="4:5" x14ac:dyDescent="0.25">
      <c r="D918" s="24"/>
      <c r="E918" s="24"/>
    </row>
    <row r="919" spans="4:5" x14ac:dyDescent="0.25">
      <c r="D919" s="24"/>
      <c r="E919" s="24"/>
    </row>
    <row r="920" spans="4:5" x14ac:dyDescent="0.25">
      <c r="D920" s="24"/>
      <c r="E920" s="24"/>
    </row>
    <row r="921" spans="4:5" x14ac:dyDescent="0.25">
      <c r="D921" s="24"/>
      <c r="E921" s="24"/>
    </row>
    <row r="922" spans="4:5" x14ac:dyDescent="0.25">
      <c r="D922" s="24"/>
      <c r="E922" s="24"/>
    </row>
    <row r="923" spans="4:5" x14ac:dyDescent="0.25">
      <c r="D923" s="24"/>
      <c r="E923" s="24"/>
    </row>
    <row r="924" spans="4:5" x14ac:dyDescent="0.25">
      <c r="D924" s="24"/>
      <c r="E924" s="24"/>
    </row>
    <row r="925" spans="4:5" x14ac:dyDescent="0.25">
      <c r="D925" s="24"/>
      <c r="E925" s="24"/>
    </row>
    <row r="926" spans="4:5" x14ac:dyDescent="0.25">
      <c r="D926" s="24"/>
      <c r="E926" s="24"/>
    </row>
    <row r="927" spans="4:5" x14ac:dyDescent="0.25">
      <c r="D927" s="24"/>
      <c r="E927" s="24"/>
    </row>
    <row r="928" spans="4:5" x14ac:dyDescent="0.25">
      <c r="D928" s="24"/>
      <c r="E928" s="24"/>
    </row>
    <row r="929" spans="4:5" x14ac:dyDescent="0.25">
      <c r="D929" s="24"/>
      <c r="E929" s="24"/>
    </row>
    <row r="930" spans="4:5" x14ac:dyDescent="0.25">
      <c r="D930" s="24"/>
      <c r="E930" s="24"/>
    </row>
    <row r="931" spans="4:5" x14ac:dyDescent="0.25">
      <c r="D931" s="24"/>
      <c r="E931" s="24"/>
    </row>
    <row r="932" spans="4:5" x14ac:dyDescent="0.25">
      <c r="D932" s="24"/>
      <c r="E932" s="24"/>
    </row>
    <row r="933" spans="4:5" x14ac:dyDescent="0.25">
      <c r="D933" s="24"/>
      <c r="E933" s="24"/>
    </row>
    <row r="934" spans="4:5" x14ac:dyDescent="0.25">
      <c r="D934" s="24"/>
      <c r="E934" s="24"/>
    </row>
    <row r="935" spans="4:5" x14ac:dyDescent="0.25">
      <c r="D935" s="24"/>
      <c r="E935" s="24"/>
    </row>
    <row r="936" spans="4:5" x14ac:dyDescent="0.25">
      <c r="D936" s="24"/>
      <c r="E936" s="24"/>
    </row>
    <row r="937" spans="4:5" x14ac:dyDescent="0.25">
      <c r="D937" s="24"/>
      <c r="E937" s="24"/>
    </row>
    <row r="938" spans="4:5" x14ac:dyDescent="0.25">
      <c r="D938" s="24"/>
      <c r="E938" s="24"/>
    </row>
    <row r="939" spans="4:5" x14ac:dyDescent="0.25">
      <c r="D939" s="24"/>
      <c r="E939" s="24"/>
    </row>
    <row r="940" spans="4:5" x14ac:dyDescent="0.25">
      <c r="D940" s="24"/>
      <c r="E940" s="24"/>
    </row>
    <row r="941" spans="4:5" x14ac:dyDescent="0.25">
      <c r="D941" s="24"/>
      <c r="E941" s="24"/>
    </row>
    <row r="942" spans="4:5" x14ac:dyDescent="0.25">
      <c r="D942" s="24"/>
      <c r="E942" s="24"/>
    </row>
    <row r="943" spans="4:5" x14ac:dyDescent="0.25">
      <c r="D943" s="24"/>
      <c r="E943" s="24"/>
    </row>
    <row r="944" spans="4:5" x14ac:dyDescent="0.25">
      <c r="D944" s="24"/>
      <c r="E944" s="24"/>
    </row>
    <row r="945" spans="4:5" x14ac:dyDescent="0.25">
      <c r="D945" s="24"/>
      <c r="E945" s="24"/>
    </row>
    <row r="946" spans="4:5" x14ac:dyDescent="0.25">
      <c r="D946" s="24"/>
      <c r="E946" s="24"/>
    </row>
    <row r="947" spans="4:5" x14ac:dyDescent="0.25">
      <c r="D947" s="24"/>
      <c r="E947" s="24"/>
    </row>
    <row r="948" spans="4:5" x14ac:dyDescent="0.25">
      <c r="D948" s="24"/>
      <c r="E948" s="24"/>
    </row>
    <row r="949" spans="4:5" x14ac:dyDescent="0.25">
      <c r="D949" s="24"/>
      <c r="E949" s="24"/>
    </row>
    <row r="950" spans="4:5" x14ac:dyDescent="0.25">
      <c r="D950" s="24"/>
      <c r="E950" s="24"/>
    </row>
    <row r="951" spans="4:5" x14ac:dyDescent="0.25">
      <c r="D951" s="24"/>
      <c r="E951" s="24"/>
    </row>
    <row r="952" spans="4:5" x14ac:dyDescent="0.25">
      <c r="D952" s="24"/>
      <c r="E952" s="24"/>
    </row>
    <row r="953" spans="4:5" x14ac:dyDescent="0.25">
      <c r="D953" s="24"/>
      <c r="E953" s="24"/>
    </row>
    <row r="954" spans="4:5" x14ac:dyDescent="0.25">
      <c r="D954" s="24"/>
      <c r="E954" s="24"/>
    </row>
    <row r="955" spans="4:5" x14ac:dyDescent="0.25">
      <c r="D955" s="24"/>
      <c r="E955" s="24"/>
    </row>
    <row r="956" spans="4:5" x14ac:dyDescent="0.25">
      <c r="D956" s="24"/>
      <c r="E956" s="24"/>
    </row>
    <row r="957" spans="4:5" x14ac:dyDescent="0.25">
      <c r="D957" s="24"/>
      <c r="E957" s="24"/>
    </row>
    <row r="958" spans="4:5" x14ac:dyDescent="0.25">
      <c r="D958" s="24"/>
      <c r="E958" s="24"/>
    </row>
    <row r="959" spans="4:5" x14ac:dyDescent="0.25">
      <c r="D959" s="24"/>
      <c r="E959" s="24"/>
    </row>
    <row r="960" spans="4:5" x14ac:dyDescent="0.25">
      <c r="D960" s="24"/>
      <c r="E960" s="24"/>
    </row>
    <row r="961" spans="4:5" x14ac:dyDescent="0.25">
      <c r="D961" s="24"/>
      <c r="E961" s="24"/>
    </row>
    <row r="962" spans="4:5" x14ac:dyDescent="0.25">
      <c r="D962" s="24"/>
      <c r="E962" s="24"/>
    </row>
    <row r="963" spans="4:5" x14ac:dyDescent="0.25">
      <c r="D963" s="24"/>
      <c r="E963" s="24"/>
    </row>
    <row r="964" spans="4:5" x14ac:dyDescent="0.25">
      <c r="D964" s="24"/>
      <c r="E964" s="24"/>
    </row>
    <row r="965" spans="4:5" x14ac:dyDescent="0.25">
      <c r="D965" s="24"/>
      <c r="E965" s="24"/>
    </row>
    <row r="966" spans="4:5" x14ac:dyDescent="0.25">
      <c r="D966" s="24"/>
      <c r="E966" s="24"/>
    </row>
    <row r="967" spans="4:5" x14ac:dyDescent="0.25">
      <c r="D967" s="24"/>
      <c r="E967" s="24"/>
    </row>
    <row r="968" spans="4:5" x14ac:dyDescent="0.25">
      <c r="D968" s="24"/>
      <c r="E968" s="24"/>
    </row>
    <row r="969" spans="4:5" x14ac:dyDescent="0.25">
      <c r="D969" s="24"/>
      <c r="E969" s="24"/>
    </row>
    <row r="970" spans="4:5" x14ac:dyDescent="0.25">
      <c r="D970" s="24"/>
      <c r="E970" s="24"/>
    </row>
    <row r="971" spans="4:5" x14ac:dyDescent="0.25">
      <c r="D971" s="24"/>
      <c r="E971" s="24"/>
    </row>
    <row r="972" spans="4:5" x14ac:dyDescent="0.25">
      <c r="D972" s="24"/>
      <c r="E972" s="24"/>
    </row>
    <row r="973" spans="4:5" x14ac:dyDescent="0.25">
      <c r="D973" s="24"/>
      <c r="E973" s="24"/>
    </row>
    <row r="974" spans="4:5" x14ac:dyDescent="0.25">
      <c r="D974" s="24"/>
      <c r="E974" s="24"/>
    </row>
    <row r="975" spans="4:5" x14ac:dyDescent="0.25">
      <c r="D975" s="24"/>
      <c r="E975" s="24"/>
    </row>
    <row r="976" spans="4:5" x14ac:dyDescent="0.25">
      <c r="D976" s="24"/>
      <c r="E976" s="24"/>
    </row>
    <row r="977" spans="4:5" x14ac:dyDescent="0.25">
      <c r="D977" s="24"/>
      <c r="E977" s="24"/>
    </row>
    <row r="978" spans="4:5" x14ac:dyDescent="0.25">
      <c r="D978" s="24"/>
      <c r="E978" s="24"/>
    </row>
    <row r="979" spans="4:5" x14ac:dyDescent="0.25">
      <c r="D979" s="24"/>
      <c r="E979" s="24"/>
    </row>
    <row r="980" spans="4:5" x14ac:dyDescent="0.25">
      <c r="D980" s="24"/>
      <c r="E980" s="24"/>
    </row>
    <row r="981" spans="4:5" x14ac:dyDescent="0.25">
      <c r="D981" s="24"/>
      <c r="E981" s="24"/>
    </row>
    <row r="982" spans="4:5" x14ac:dyDescent="0.25">
      <c r="D982" s="24"/>
      <c r="E982" s="24"/>
    </row>
    <row r="983" spans="4:5" x14ac:dyDescent="0.25">
      <c r="D983" s="24"/>
      <c r="E983" s="24"/>
    </row>
    <row r="984" spans="4:5" x14ac:dyDescent="0.25">
      <c r="D984" s="24"/>
      <c r="E984" s="24"/>
    </row>
    <row r="985" spans="4:5" x14ac:dyDescent="0.25">
      <c r="D985" s="24"/>
      <c r="E985" s="24"/>
    </row>
    <row r="986" spans="4:5" x14ac:dyDescent="0.25">
      <c r="D986" s="24"/>
      <c r="E986" s="24"/>
    </row>
    <row r="987" spans="4:5" x14ac:dyDescent="0.25">
      <c r="D987" s="24"/>
      <c r="E987" s="24"/>
    </row>
    <row r="988" spans="4:5" x14ac:dyDescent="0.25">
      <c r="D988" s="24"/>
      <c r="E988" s="24"/>
    </row>
    <row r="989" spans="4:5" x14ac:dyDescent="0.25">
      <c r="D989" s="24"/>
      <c r="E989" s="24"/>
    </row>
    <row r="990" spans="4:5" x14ac:dyDescent="0.25">
      <c r="D990" s="24"/>
      <c r="E990" s="24"/>
    </row>
    <row r="991" spans="4:5" x14ac:dyDescent="0.25">
      <c r="D991" s="24"/>
      <c r="E991" s="24"/>
    </row>
    <row r="992" spans="4:5" x14ac:dyDescent="0.25">
      <c r="D992" s="24"/>
      <c r="E992" s="24"/>
    </row>
    <row r="993" spans="4:5" x14ac:dyDescent="0.25">
      <c r="D993" s="24"/>
      <c r="E993" s="24"/>
    </row>
    <row r="994" spans="4:5" x14ac:dyDescent="0.25">
      <c r="D994" s="24"/>
      <c r="E994" s="24"/>
    </row>
    <row r="995" spans="4:5" x14ac:dyDescent="0.25">
      <c r="D995" s="24"/>
      <c r="E995" s="24"/>
    </row>
    <row r="996" spans="4:5" x14ac:dyDescent="0.25">
      <c r="D996" s="24"/>
      <c r="E996" s="24"/>
    </row>
    <row r="997" spans="4:5" x14ac:dyDescent="0.25">
      <c r="D997" s="24"/>
      <c r="E997" s="24"/>
    </row>
    <row r="998" spans="4:5" x14ac:dyDescent="0.25">
      <c r="D998" s="24"/>
      <c r="E998" s="24"/>
    </row>
    <row r="999" spans="4:5" x14ac:dyDescent="0.25">
      <c r="D999" s="24"/>
      <c r="E999" s="24"/>
    </row>
    <row r="1000" spans="4:5" x14ac:dyDescent="0.25">
      <c r="D1000" s="24"/>
      <c r="E1000" s="24"/>
    </row>
    <row r="1001" spans="4:5" x14ac:dyDescent="0.25">
      <c r="D1001" s="24"/>
      <c r="E1001" s="24"/>
    </row>
    <row r="1002" spans="4:5" x14ac:dyDescent="0.25">
      <c r="D1002" s="24"/>
      <c r="E1002" s="24"/>
    </row>
    <row r="1003" spans="4:5" x14ac:dyDescent="0.25">
      <c r="D1003" s="24"/>
      <c r="E1003" s="24"/>
    </row>
    <row r="1004" spans="4:5" x14ac:dyDescent="0.25">
      <c r="D1004" s="24"/>
      <c r="E1004" s="24"/>
    </row>
    <row r="1005" spans="4:5" x14ac:dyDescent="0.25">
      <c r="D1005" s="24"/>
      <c r="E1005" s="24"/>
    </row>
    <row r="1006" spans="4:5" x14ac:dyDescent="0.25">
      <c r="D1006" s="24"/>
      <c r="E1006" s="24"/>
    </row>
    <row r="1007" spans="4:5" x14ac:dyDescent="0.25">
      <c r="D1007" s="24"/>
      <c r="E1007" s="24"/>
    </row>
    <row r="1008" spans="4:5" x14ac:dyDescent="0.25">
      <c r="D1008" s="24"/>
      <c r="E1008" s="24"/>
    </row>
    <row r="1009" spans="4:5" x14ac:dyDescent="0.25">
      <c r="D1009" s="24"/>
      <c r="E1009" s="24"/>
    </row>
    <row r="1010" spans="4:5" x14ac:dyDescent="0.25">
      <c r="D1010" s="24"/>
      <c r="E1010" s="24"/>
    </row>
    <row r="1011" spans="4:5" x14ac:dyDescent="0.25">
      <c r="D1011" s="24"/>
      <c r="E1011" s="24"/>
    </row>
    <row r="1012" spans="4:5" x14ac:dyDescent="0.25">
      <c r="D1012" s="24"/>
      <c r="E1012" s="24"/>
    </row>
    <row r="1013" spans="4:5" x14ac:dyDescent="0.25">
      <c r="D1013" s="24"/>
      <c r="E1013" s="24"/>
    </row>
    <row r="1014" spans="4:5" x14ac:dyDescent="0.25">
      <c r="D1014" s="24"/>
      <c r="E1014" s="24"/>
    </row>
    <row r="1015" spans="4:5" x14ac:dyDescent="0.25">
      <c r="D1015" s="24"/>
      <c r="E1015" s="24"/>
    </row>
    <row r="1016" spans="4:5" x14ac:dyDescent="0.25">
      <c r="D1016" s="24"/>
      <c r="E1016" s="24"/>
    </row>
    <row r="1017" spans="4:5" x14ac:dyDescent="0.25">
      <c r="D1017" s="24"/>
      <c r="E1017" s="24"/>
    </row>
    <row r="1018" spans="4:5" x14ac:dyDescent="0.25">
      <c r="D1018" s="24"/>
      <c r="E1018" s="24"/>
    </row>
    <row r="1019" spans="4:5" x14ac:dyDescent="0.25">
      <c r="D1019" s="24"/>
      <c r="E1019" s="24"/>
    </row>
    <row r="1020" spans="4:5" x14ac:dyDescent="0.25">
      <c r="D1020" s="24"/>
      <c r="E1020" s="24"/>
    </row>
    <row r="1021" spans="4:5" x14ac:dyDescent="0.25">
      <c r="D1021" s="24"/>
      <c r="E1021" s="24"/>
    </row>
    <row r="1022" spans="4:5" x14ac:dyDescent="0.25">
      <c r="D1022" s="24"/>
      <c r="E1022" s="24"/>
    </row>
    <row r="1023" spans="4:5" x14ac:dyDescent="0.25">
      <c r="D1023" s="24"/>
      <c r="E1023" s="24"/>
    </row>
    <row r="1024" spans="4:5" x14ac:dyDescent="0.25">
      <c r="D1024" s="24"/>
      <c r="E1024" s="24"/>
    </row>
    <row r="1025" spans="4:5" x14ac:dyDescent="0.25">
      <c r="D1025" s="24"/>
      <c r="E1025" s="24"/>
    </row>
    <row r="1026" spans="4:5" x14ac:dyDescent="0.25">
      <c r="D1026" s="24"/>
      <c r="E1026" s="24"/>
    </row>
    <row r="1027" spans="4:5" x14ac:dyDescent="0.25">
      <c r="D1027" s="24"/>
      <c r="E1027" s="24"/>
    </row>
    <row r="1028" spans="4:5" x14ac:dyDescent="0.25">
      <c r="D1028" s="24"/>
      <c r="E1028" s="24"/>
    </row>
    <row r="1029" spans="4:5" x14ac:dyDescent="0.25">
      <c r="D1029" s="24"/>
      <c r="E1029" s="24"/>
    </row>
    <row r="1030" spans="4:5" x14ac:dyDescent="0.25">
      <c r="D1030" s="24"/>
      <c r="E1030" s="24"/>
    </row>
    <row r="1031" spans="4:5" x14ac:dyDescent="0.25">
      <c r="D1031" s="24"/>
      <c r="E1031" s="24"/>
    </row>
    <row r="1032" spans="4:5" x14ac:dyDescent="0.25">
      <c r="D1032" s="24"/>
      <c r="E1032" s="24"/>
    </row>
    <row r="1033" spans="4:5" x14ac:dyDescent="0.25">
      <c r="D1033" s="24"/>
      <c r="E1033" s="24"/>
    </row>
    <row r="1034" spans="4:5" x14ac:dyDescent="0.25">
      <c r="D1034" s="24"/>
      <c r="E1034" s="24"/>
    </row>
    <row r="1035" spans="4:5" x14ac:dyDescent="0.25">
      <c r="D1035" s="24"/>
      <c r="E1035" s="24"/>
    </row>
    <row r="1036" spans="4:5" x14ac:dyDescent="0.25">
      <c r="D1036" s="24"/>
      <c r="E1036" s="24"/>
    </row>
    <row r="1037" spans="4:5" x14ac:dyDescent="0.25">
      <c r="D1037" s="24"/>
      <c r="E1037" s="24"/>
    </row>
    <row r="1038" spans="4:5" x14ac:dyDescent="0.25">
      <c r="D1038" s="24"/>
      <c r="E1038" s="24"/>
    </row>
    <row r="1039" spans="4:5" x14ac:dyDescent="0.25">
      <c r="D1039" s="24"/>
      <c r="E1039" s="24"/>
    </row>
    <row r="1040" spans="4:5" x14ac:dyDescent="0.25">
      <c r="D1040" s="24"/>
      <c r="E1040" s="24"/>
    </row>
    <row r="1041" spans="4:5" x14ac:dyDescent="0.25">
      <c r="D1041" s="24"/>
      <c r="E1041" s="24"/>
    </row>
    <row r="1042" spans="4:5" x14ac:dyDescent="0.25">
      <c r="D1042" s="24"/>
      <c r="E1042" s="24"/>
    </row>
    <row r="1043" spans="4:5" x14ac:dyDescent="0.25">
      <c r="D1043" s="24"/>
      <c r="E1043" s="24"/>
    </row>
    <row r="1044" spans="4:5" x14ac:dyDescent="0.25">
      <c r="D1044" s="24"/>
      <c r="E1044" s="24"/>
    </row>
    <row r="1045" spans="4:5" x14ac:dyDescent="0.25">
      <c r="D1045" s="24"/>
      <c r="E1045" s="24"/>
    </row>
    <row r="1046" spans="4:5" x14ac:dyDescent="0.25">
      <c r="D1046" s="24"/>
      <c r="E1046" s="24"/>
    </row>
    <row r="1047" spans="4:5" x14ac:dyDescent="0.25">
      <c r="D1047" s="24"/>
      <c r="E1047" s="24"/>
    </row>
    <row r="1048" spans="4:5" x14ac:dyDescent="0.25">
      <c r="D1048" s="24"/>
      <c r="E1048" s="24"/>
    </row>
    <row r="1049" spans="4:5" x14ac:dyDescent="0.25">
      <c r="D1049" s="24"/>
      <c r="E1049" s="24"/>
    </row>
    <row r="1050" spans="4:5" x14ac:dyDescent="0.25">
      <c r="D1050" s="24"/>
      <c r="E1050" s="24"/>
    </row>
    <row r="1051" spans="4:5" x14ac:dyDescent="0.25">
      <c r="D1051" s="24"/>
      <c r="E1051" s="24"/>
    </row>
    <row r="1052" spans="4:5" x14ac:dyDescent="0.25">
      <c r="D1052" s="24"/>
      <c r="E1052" s="24"/>
    </row>
    <row r="1053" spans="4:5" x14ac:dyDescent="0.25">
      <c r="D1053" s="24"/>
      <c r="E1053" s="24"/>
    </row>
    <row r="1054" spans="4:5" x14ac:dyDescent="0.25">
      <c r="D1054" s="24"/>
      <c r="E1054" s="24"/>
    </row>
    <row r="1055" spans="4:5" x14ac:dyDescent="0.25">
      <c r="D1055" s="24"/>
      <c r="E1055" s="24"/>
    </row>
    <row r="1056" spans="4:5" x14ac:dyDescent="0.25">
      <c r="D1056" s="24"/>
      <c r="E1056" s="24"/>
    </row>
    <row r="1057" spans="4:5" x14ac:dyDescent="0.25">
      <c r="D1057" s="24"/>
      <c r="E1057" s="24"/>
    </row>
    <row r="1058" spans="4:5" x14ac:dyDescent="0.25">
      <c r="D1058" s="24"/>
      <c r="E1058" s="24"/>
    </row>
    <row r="1059" spans="4:5" x14ac:dyDescent="0.25">
      <c r="D1059" s="24"/>
      <c r="E1059" s="24"/>
    </row>
    <row r="1060" spans="4:5" x14ac:dyDescent="0.25">
      <c r="D1060" s="24"/>
      <c r="E1060" s="24"/>
    </row>
    <row r="1061" spans="4:5" x14ac:dyDescent="0.25">
      <c r="D1061" s="24"/>
      <c r="E1061" s="24"/>
    </row>
    <row r="1062" spans="4:5" x14ac:dyDescent="0.25">
      <c r="D1062" s="24"/>
      <c r="E1062" s="24"/>
    </row>
    <row r="1063" spans="4:5" x14ac:dyDescent="0.25">
      <c r="D1063" s="24"/>
      <c r="E1063" s="24"/>
    </row>
    <row r="1064" spans="4:5" x14ac:dyDescent="0.25">
      <c r="D1064" s="24"/>
      <c r="E1064" s="24"/>
    </row>
    <row r="1065" spans="4:5" x14ac:dyDescent="0.25">
      <c r="D1065" s="24"/>
      <c r="E1065" s="24"/>
    </row>
    <row r="1066" spans="4:5" x14ac:dyDescent="0.25">
      <c r="D1066" s="24"/>
      <c r="E1066" s="24"/>
    </row>
    <row r="1067" spans="4:5" x14ac:dyDescent="0.25">
      <c r="D1067" s="24"/>
      <c r="E1067" s="24"/>
    </row>
    <row r="1068" spans="4:5" x14ac:dyDescent="0.25">
      <c r="D1068" s="24"/>
      <c r="E1068" s="24"/>
    </row>
    <row r="1069" spans="4:5" x14ac:dyDescent="0.25">
      <c r="D1069" s="24"/>
      <c r="E1069" s="24"/>
    </row>
    <row r="1070" spans="4:5" x14ac:dyDescent="0.25">
      <c r="D1070" s="24"/>
      <c r="E1070" s="24"/>
    </row>
    <row r="1071" spans="4:5" x14ac:dyDescent="0.25">
      <c r="D1071" s="24"/>
      <c r="E1071" s="24"/>
    </row>
    <row r="1072" spans="4:5" x14ac:dyDescent="0.25">
      <c r="D1072" s="24"/>
      <c r="E1072" s="24"/>
    </row>
    <row r="1073" spans="4:5" x14ac:dyDescent="0.25">
      <c r="D1073" s="24"/>
      <c r="E1073" s="24"/>
    </row>
    <row r="1074" spans="4:5" x14ac:dyDescent="0.25">
      <c r="D1074" s="24"/>
      <c r="E1074" s="24"/>
    </row>
    <row r="1075" spans="4:5" x14ac:dyDescent="0.25">
      <c r="D1075" s="24"/>
      <c r="E1075" s="24"/>
    </row>
    <row r="1076" spans="4:5" x14ac:dyDescent="0.25">
      <c r="D1076" s="24"/>
      <c r="E1076" s="24"/>
    </row>
    <row r="1077" spans="4:5" x14ac:dyDescent="0.25">
      <c r="D1077" s="24"/>
      <c r="E1077" s="24"/>
    </row>
    <row r="1078" spans="4:5" x14ac:dyDescent="0.25">
      <c r="D1078" s="24"/>
      <c r="E1078" s="24"/>
    </row>
    <row r="1079" spans="4:5" x14ac:dyDescent="0.25">
      <c r="D1079" s="24"/>
      <c r="E1079" s="24"/>
    </row>
    <row r="1080" spans="4:5" x14ac:dyDescent="0.25">
      <c r="D1080" s="24"/>
      <c r="E1080" s="24"/>
    </row>
    <row r="1081" spans="4:5" x14ac:dyDescent="0.25">
      <c r="D1081" s="24"/>
      <c r="E1081" s="24"/>
    </row>
    <row r="1082" spans="4:5" x14ac:dyDescent="0.25">
      <c r="D1082" s="24"/>
      <c r="E1082" s="24"/>
    </row>
    <row r="1083" spans="4:5" x14ac:dyDescent="0.25">
      <c r="D1083" s="24"/>
      <c r="E1083" s="24"/>
    </row>
    <row r="1084" spans="4:5" x14ac:dyDescent="0.25">
      <c r="D1084" s="24"/>
      <c r="E1084" s="24"/>
    </row>
    <row r="1085" spans="4:5" x14ac:dyDescent="0.25">
      <c r="D1085" s="24"/>
      <c r="E1085" s="24"/>
    </row>
    <row r="1086" spans="4:5" x14ac:dyDescent="0.25">
      <c r="D1086" s="24"/>
      <c r="E1086" s="24"/>
    </row>
    <row r="1087" spans="4:5" x14ac:dyDescent="0.25">
      <c r="D1087" s="24"/>
      <c r="E1087" s="24"/>
    </row>
    <row r="1088" spans="4:5" x14ac:dyDescent="0.25">
      <c r="D1088" s="24"/>
      <c r="E1088" s="24"/>
    </row>
    <row r="1089" spans="4:5" x14ac:dyDescent="0.25">
      <c r="D1089" s="24"/>
      <c r="E1089" s="24"/>
    </row>
    <row r="1090" spans="4:5" x14ac:dyDescent="0.25">
      <c r="D1090" s="24"/>
      <c r="E1090" s="24"/>
    </row>
    <row r="1091" spans="4:5" x14ac:dyDescent="0.25">
      <c r="D1091" s="24"/>
      <c r="E1091" s="24"/>
    </row>
    <row r="1092" spans="4:5" x14ac:dyDescent="0.25">
      <c r="D1092" s="24"/>
      <c r="E1092" s="24"/>
    </row>
    <row r="1093" spans="4:5" x14ac:dyDescent="0.25">
      <c r="D1093" s="24"/>
      <c r="E1093" s="24"/>
    </row>
    <row r="1094" spans="4:5" x14ac:dyDescent="0.25">
      <c r="D1094" s="24"/>
      <c r="E1094" s="24"/>
    </row>
    <row r="1095" spans="4:5" x14ac:dyDescent="0.25">
      <c r="D1095" s="24"/>
      <c r="E1095" s="24"/>
    </row>
    <row r="1096" spans="4:5" x14ac:dyDescent="0.25">
      <c r="D1096" s="24"/>
      <c r="E1096" s="24"/>
    </row>
    <row r="1097" spans="4:5" x14ac:dyDescent="0.25">
      <c r="D1097" s="24"/>
      <c r="E1097" s="24"/>
    </row>
    <row r="1098" spans="4:5" x14ac:dyDescent="0.25">
      <c r="D1098" s="24"/>
      <c r="E1098" s="24"/>
    </row>
    <row r="1099" spans="4:5" x14ac:dyDescent="0.25">
      <c r="D1099" s="24"/>
      <c r="E1099" s="24"/>
    </row>
    <row r="1100" spans="4:5" x14ac:dyDescent="0.25">
      <c r="D1100" s="24"/>
      <c r="E1100" s="24"/>
    </row>
    <row r="1101" spans="4:5" x14ac:dyDescent="0.25">
      <c r="D1101" s="24"/>
      <c r="E1101" s="24"/>
    </row>
    <row r="1102" spans="4:5" x14ac:dyDescent="0.25">
      <c r="D1102" s="24"/>
      <c r="E1102" s="24"/>
    </row>
    <row r="1103" spans="4:5" x14ac:dyDescent="0.25">
      <c r="D1103" s="24"/>
      <c r="E1103" s="24"/>
    </row>
    <row r="1104" spans="4:5" x14ac:dyDescent="0.25">
      <c r="D1104" s="24"/>
      <c r="E1104" s="24"/>
    </row>
    <row r="1105" spans="4:5" x14ac:dyDescent="0.25">
      <c r="D1105" s="24"/>
      <c r="E1105" s="24"/>
    </row>
    <row r="1106" spans="4:5" x14ac:dyDescent="0.25">
      <c r="D1106" s="24"/>
      <c r="E1106" s="24"/>
    </row>
    <row r="1107" spans="4:5" x14ac:dyDescent="0.25">
      <c r="D1107" s="24"/>
      <c r="E1107" s="24"/>
    </row>
    <row r="1108" spans="4:5" x14ac:dyDescent="0.25">
      <c r="D1108" s="24"/>
      <c r="E1108" s="24"/>
    </row>
    <row r="1109" spans="4:5" x14ac:dyDescent="0.25">
      <c r="D1109" s="24"/>
      <c r="E1109" s="24"/>
    </row>
    <row r="1110" spans="4:5" x14ac:dyDescent="0.25">
      <c r="D1110" s="24"/>
      <c r="E1110" s="24"/>
    </row>
    <row r="1111" spans="4:5" x14ac:dyDescent="0.25">
      <c r="D1111" s="24"/>
      <c r="E1111" s="24"/>
    </row>
    <row r="1112" spans="4:5" x14ac:dyDescent="0.25">
      <c r="D1112" s="24"/>
      <c r="E1112" s="24"/>
    </row>
    <row r="1113" spans="4:5" x14ac:dyDescent="0.25">
      <c r="D1113" s="24"/>
      <c r="E1113" s="24"/>
    </row>
    <row r="1114" spans="4:5" x14ac:dyDescent="0.25">
      <c r="D1114" s="24"/>
      <c r="E1114" s="24"/>
    </row>
    <row r="1115" spans="4:5" x14ac:dyDescent="0.25">
      <c r="D1115" s="24"/>
      <c r="E1115" s="24"/>
    </row>
  </sheetData>
  <mergeCells count="1">
    <mergeCell ref="C3:E3"/>
  </mergeCells>
  <dataValidations count="1">
    <dataValidation type="list" allowBlank="1" showInputMessage="1" showErrorMessage="1" sqref="E1:E1048576" xr:uid="{C3052AFF-B61A-4A62-8BE7-46514C710C38}">
      <formula1>"Present,Not Present"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402EC-A169-43D7-BDC6-64585223241C}">
  <sheetPr codeName="Sheet3"/>
  <dimension ref="A1"/>
  <sheetViews>
    <sheetView topLeftCell="A39" workbookViewId="0">
      <selection activeCell="F62" sqref="F62"/>
    </sheetView>
  </sheetViews>
  <sheetFormatPr defaultRowHeight="15" x14ac:dyDescent="0.25"/>
  <cols>
    <col min="2" max="2" width="17.28515625" customWidth="1"/>
    <col min="5" max="5" width="12.5703125" customWidth="1"/>
    <col min="7" max="7" width="10.5703125" customWidth="1"/>
  </cols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C15BB-E410-4FBB-B079-3FFD0538216F}">
  <sheetPr codeName="Sheet4"/>
  <dimension ref="B3:E25"/>
  <sheetViews>
    <sheetView topLeftCell="A13" workbookViewId="0">
      <selection activeCell="E35" sqref="E35"/>
    </sheetView>
  </sheetViews>
  <sheetFormatPr defaultRowHeight="15" x14ac:dyDescent="0.25"/>
  <cols>
    <col min="2" max="2" width="26.28515625" customWidth="1"/>
    <col min="3" max="3" width="11.42578125" customWidth="1"/>
    <col min="4" max="4" width="14.85546875" customWidth="1"/>
    <col min="5" max="5" width="11.7109375" style="2" customWidth="1"/>
  </cols>
  <sheetData>
    <row r="3" spans="3:5" ht="21.75" customHeight="1" x14ac:dyDescent="0.25">
      <c r="C3" s="21" t="s">
        <v>14</v>
      </c>
      <c r="D3" s="22" t="s">
        <v>15</v>
      </c>
      <c r="E3" s="23" t="s">
        <v>25</v>
      </c>
    </row>
    <row r="4" spans="3:5" x14ac:dyDescent="0.25">
      <c r="C4" s="4">
        <v>1</v>
      </c>
      <c r="D4" s="4">
        <v>0</v>
      </c>
      <c r="E4" s="11">
        <v>0</v>
      </c>
    </row>
    <row r="5" spans="3:5" x14ac:dyDescent="0.25">
      <c r="C5" s="4">
        <v>1.3</v>
      </c>
      <c r="D5" s="4">
        <v>0</v>
      </c>
      <c r="E5" s="11">
        <v>0</v>
      </c>
    </row>
    <row r="6" spans="3:5" x14ac:dyDescent="0.25">
      <c r="C6" s="4">
        <v>1.7</v>
      </c>
      <c r="D6" s="4">
        <v>0</v>
      </c>
      <c r="E6" s="11">
        <v>0</v>
      </c>
    </row>
    <row r="7" spans="3:5" x14ac:dyDescent="0.25">
      <c r="C7" s="4">
        <v>2</v>
      </c>
      <c r="D7" s="4">
        <v>0</v>
      </c>
      <c r="E7" s="11">
        <v>0</v>
      </c>
    </row>
    <row r="8" spans="3:5" x14ac:dyDescent="0.25">
      <c r="C8" s="4">
        <v>2.2999999999999998</v>
      </c>
      <c r="D8" s="4">
        <v>0</v>
      </c>
      <c r="E8" s="11">
        <v>0</v>
      </c>
    </row>
    <row r="9" spans="3:5" x14ac:dyDescent="0.25">
      <c r="C9" s="4">
        <v>2.7</v>
      </c>
      <c r="D9" s="4">
        <v>0</v>
      </c>
      <c r="E9" s="11">
        <v>0</v>
      </c>
    </row>
    <row r="10" spans="3:5" x14ac:dyDescent="0.25">
      <c r="C10" s="4">
        <v>3</v>
      </c>
      <c r="D10" s="4">
        <v>0</v>
      </c>
      <c r="E10" s="11">
        <v>0</v>
      </c>
    </row>
    <row r="11" spans="3:5" x14ac:dyDescent="0.25">
      <c r="C11" s="4">
        <v>3.3</v>
      </c>
      <c r="D11" s="4">
        <v>0</v>
      </c>
      <c r="E11" s="11">
        <v>0</v>
      </c>
    </row>
    <row r="12" spans="3:5" x14ac:dyDescent="0.25">
      <c r="C12" s="4">
        <v>3.7</v>
      </c>
      <c r="D12" s="4">
        <v>0</v>
      </c>
      <c r="E12" s="11">
        <v>0</v>
      </c>
    </row>
    <row r="13" spans="3:5" x14ac:dyDescent="0.25">
      <c r="C13" s="4">
        <v>4</v>
      </c>
      <c r="D13" s="4">
        <v>0</v>
      </c>
      <c r="E13" s="11">
        <v>0</v>
      </c>
    </row>
    <row r="14" spans="3:5" x14ac:dyDescent="0.25">
      <c r="C14" s="4">
        <v>5</v>
      </c>
      <c r="D14" s="4">
        <v>0</v>
      </c>
      <c r="E14" s="11">
        <v>0</v>
      </c>
    </row>
    <row r="15" spans="3:5" x14ac:dyDescent="0.25">
      <c r="C15" s="4" t="s">
        <v>16</v>
      </c>
      <c r="D15" s="4">
        <v>0</v>
      </c>
      <c r="E15" s="11">
        <v>0</v>
      </c>
    </row>
    <row r="16" spans="3:5" x14ac:dyDescent="0.25">
      <c r="D16" s="4">
        <f>SUM(D4:D15)</f>
        <v>0</v>
      </c>
    </row>
    <row r="17" spans="2:5" ht="18.75" x14ac:dyDescent="0.3">
      <c r="B17" s="14" t="s">
        <v>20</v>
      </c>
      <c r="C17" s="15"/>
      <c r="D17" s="16">
        <f>BasicValue!D9</f>
        <v>0</v>
      </c>
      <c r="E17" s="17"/>
    </row>
    <row r="18" spans="2:5" ht="18.75" x14ac:dyDescent="0.3">
      <c r="B18" s="14" t="s">
        <v>21</v>
      </c>
      <c r="C18" s="15"/>
      <c r="D18" s="16">
        <f>SUM(D4:D13)</f>
        <v>0</v>
      </c>
      <c r="E18" s="18">
        <f>IF(D18=0,0,D18/D17)</f>
        <v>0</v>
      </c>
    </row>
    <row r="19" spans="2:5" ht="18.75" x14ac:dyDescent="0.3">
      <c r="B19" s="14" t="s">
        <v>22</v>
      </c>
      <c r="C19" s="15"/>
      <c r="D19" s="16">
        <f>D14</f>
        <v>0</v>
      </c>
      <c r="E19" s="18">
        <f>IF(D19=0,0,D19/D17)</f>
        <v>0</v>
      </c>
    </row>
    <row r="20" spans="2:5" ht="18.75" x14ac:dyDescent="0.3">
      <c r="B20" s="14" t="s">
        <v>23</v>
      </c>
      <c r="C20" s="15"/>
      <c r="D20" s="16">
        <f>D15</f>
        <v>0</v>
      </c>
      <c r="E20" s="18">
        <f>IF(D20=0,0,D20/D17)</f>
        <v>0</v>
      </c>
    </row>
    <row r="21" spans="2:5" ht="18.75" x14ac:dyDescent="0.3">
      <c r="B21" s="14" t="s">
        <v>24</v>
      </c>
      <c r="C21" s="19">
        <f>IF((D18+D19)=0,0,ROUND((D4*C4+D5*C5+D6*C6+D7*C7+D8*C8+D9*C9+D10*C10+D11*C11+D12*C12+D13*C13+D14*C14)/(D18+D19),2))</f>
        <v>0</v>
      </c>
      <c r="D21" s="20"/>
      <c r="E21" s="18"/>
    </row>
    <row r="25" spans="2:5" x14ac:dyDescent="0.25">
      <c r="D25">
        <v>0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5A301-EF09-49DB-8675-2041B55935CD}">
  <sheetPr codeName="Sheet6"/>
  <dimension ref="A1:U4"/>
  <sheetViews>
    <sheetView workbookViewId="0">
      <selection activeCell="B1" sqref="B1"/>
    </sheetView>
  </sheetViews>
  <sheetFormatPr defaultRowHeight="15" x14ac:dyDescent="0.25"/>
  <cols>
    <col min="1" max="1" width="29.28515625" customWidth="1"/>
    <col min="3" max="3" width="14.7109375" customWidth="1"/>
  </cols>
  <sheetData>
    <row r="1" spans="1:21" x14ac:dyDescent="0.25">
      <c r="B1">
        <v>150</v>
      </c>
      <c r="C1">
        <v>1</v>
      </c>
    </row>
    <row r="2" spans="1:21" x14ac:dyDescent="0.25">
      <c r="A2" s="4" t="s">
        <v>32</v>
      </c>
      <c r="B2" s="4">
        <v>0</v>
      </c>
    </row>
    <row r="3" spans="1:21" x14ac:dyDescent="0.25">
      <c r="A3" s="4" t="s">
        <v>33</v>
      </c>
      <c r="B3" s="4">
        <v>5</v>
      </c>
      <c r="L3">
        <v>0</v>
      </c>
      <c r="T3">
        <v>0</v>
      </c>
      <c r="U3">
        <v>0</v>
      </c>
    </row>
    <row r="4" spans="1:21" x14ac:dyDescent="0.25">
      <c r="L4">
        <v>0</v>
      </c>
      <c r="T4">
        <v>0</v>
      </c>
      <c r="U4">
        <v>0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4A262-7897-4FB3-A45D-D902909E1A4D}">
  <sheetPr codeName="Sheet5"/>
  <dimension ref="A1:P1115"/>
  <sheetViews>
    <sheetView topLeftCell="A7" workbookViewId="0">
      <selection activeCell="H29" sqref="H29"/>
    </sheetView>
  </sheetViews>
  <sheetFormatPr defaultRowHeight="15" x14ac:dyDescent="0.25"/>
  <sheetData>
    <row r="1" spans="1:16" x14ac:dyDescent="0.25">
      <c r="A1">
        <f>IF(BasicValue!D11="On", 1, 0)</f>
        <v>0</v>
      </c>
    </row>
    <row r="2" spans="1:16" x14ac:dyDescent="0.25">
      <c r="A2">
        <f>IF(BasicValue!D13="No", 0,1)</f>
        <v>1</v>
      </c>
      <c r="F2" t="s">
        <v>8</v>
      </c>
      <c r="O2" t="s">
        <v>8</v>
      </c>
    </row>
    <row r="4" spans="1:16" x14ac:dyDescent="0.25">
      <c r="F4">
        <v>3.9130434782608699E-2</v>
      </c>
      <c r="O4">
        <v>0</v>
      </c>
    </row>
    <row r="5" spans="1:16" x14ac:dyDescent="0.25">
      <c r="F5">
        <v>7.8260869565217397E-2</v>
      </c>
      <c r="O5">
        <v>0</v>
      </c>
    </row>
    <row r="6" spans="1:16" x14ac:dyDescent="0.25">
      <c r="A6">
        <v>10</v>
      </c>
      <c r="F6">
        <v>0.11739130434782609</v>
      </c>
      <c r="O6">
        <v>6.5217391304347823E-3</v>
      </c>
      <c r="P6">
        <v>0.32500000000000001</v>
      </c>
    </row>
    <row r="7" spans="1:16" x14ac:dyDescent="0.25">
      <c r="F7">
        <v>0.15652173913043479</v>
      </c>
      <c r="O7">
        <v>8.6956521739130436E-3</v>
      </c>
      <c r="P7">
        <v>0.32500000000000001</v>
      </c>
    </row>
    <row r="8" spans="1:16" x14ac:dyDescent="0.25">
      <c r="F8">
        <v>0.19565217391304349</v>
      </c>
      <c r="O8">
        <v>1.0869565217391304E-2</v>
      </c>
      <c r="P8">
        <v>0.32500000000000001</v>
      </c>
    </row>
    <row r="9" spans="1:16" x14ac:dyDescent="0.25">
      <c r="F9">
        <v>0.23478260869565218</v>
      </c>
      <c r="O9">
        <v>1.3043478260869565E-2</v>
      </c>
      <c r="P9">
        <v>0.32500000000000001</v>
      </c>
    </row>
    <row r="10" spans="1:16" x14ac:dyDescent="0.25">
      <c r="F10">
        <v>0.27391304347826084</v>
      </c>
      <c r="O10">
        <v>1.5217391304347827E-2</v>
      </c>
      <c r="P10">
        <v>0.32500000000000001</v>
      </c>
    </row>
    <row r="11" spans="1:16" x14ac:dyDescent="0.25">
      <c r="F11">
        <v>0.31304347826086959</v>
      </c>
      <c r="O11">
        <v>1.7391304347826087E-2</v>
      </c>
      <c r="P11">
        <v>0.32500000000000001</v>
      </c>
    </row>
    <row r="12" spans="1:16" x14ac:dyDescent="0.25">
      <c r="F12">
        <v>0.35217391304347828</v>
      </c>
      <c r="O12">
        <v>1.9565217391304349E-2</v>
      </c>
      <c r="P12">
        <v>0.32500000000000001</v>
      </c>
    </row>
    <row r="13" spans="1:16" x14ac:dyDescent="0.25">
      <c r="A13">
        <f>COUNTIF(Input!2:2,2)</f>
        <v>0</v>
      </c>
      <c r="F13">
        <v>0.39130434782608697</v>
      </c>
      <c r="O13">
        <v>2.1739130434782608E-2</v>
      </c>
      <c r="P13">
        <v>0.32500000000000001</v>
      </c>
    </row>
    <row r="14" spans="1:16" x14ac:dyDescent="0.25">
      <c r="F14">
        <v>0.43043478260869567</v>
      </c>
      <c r="O14">
        <v>2.391304347826087E-2</v>
      </c>
      <c r="P14">
        <v>0.32500000000000001</v>
      </c>
    </row>
    <row r="15" spans="1:16" x14ac:dyDescent="0.25">
      <c r="A15">
        <f>COUNTIF(Input!2:2,"&gt;1")-BasicValue!D15-BasicValue!D17</f>
        <v>0</v>
      </c>
      <c r="F15">
        <v>0.46956521739130436</v>
      </c>
      <c r="G15">
        <v>3.68</v>
      </c>
      <c r="O15">
        <v>2.6086956521739129E-2</v>
      </c>
      <c r="P15">
        <v>0.32500000000000001</v>
      </c>
    </row>
    <row r="16" spans="1:16" x14ac:dyDescent="0.25">
      <c r="F16">
        <v>0.50869565217391299</v>
      </c>
      <c r="O16">
        <v>2.8260869565217391E-2</v>
      </c>
      <c r="P16">
        <v>0.32500000000000001</v>
      </c>
    </row>
    <row r="17" spans="1:16" x14ac:dyDescent="0.25">
      <c r="F17">
        <v>0.54782608695652169</v>
      </c>
      <c r="O17">
        <v>3.0434782608695653E-2</v>
      </c>
      <c r="P17">
        <v>0.32500000000000001</v>
      </c>
    </row>
    <row r="18" spans="1:16" x14ac:dyDescent="0.25">
      <c r="F18">
        <v>0.58695652173913049</v>
      </c>
      <c r="G18">
        <f>linear(5,1,1,2,2)</f>
        <v>5</v>
      </c>
      <c r="O18">
        <v>3.2608695652173912E-2</v>
      </c>
      <c r="P18">
        <v>0.32500000000000001</v>
      </c>
    </row>
    <row r="19" spans="1:16" x14ac:dyDescent="0.25">
      <c r="F19">
        <v>0.62608695652173918</v>
      </c>
      <c r="O19">
        <v>3.4782608695652174E-2</v>
      </c>
      <c r="P19">
        <v>0.32500000000000001</v>
      </c>
    </row>
    <row r="20" spans="1:16" x14ac:dyDescent="0.25">
      <c r="F20">
        <v>0.66521739130434787</v>
      </c>
      <c r="O20">
        <v>3.6956521739130437E-2</v>
      </c>
      <c r="P20">
        <v>0.32500000000000001</v>
      </c>
    </row>
    <row r="21" spans="1:16" x14ac:dyDescent="0.25">
      <c r="F21">
        <v>0.70434782608695656</v>
      </c>
      <c r="O21">
        <v>3.9130434782608699E-2</v>
      </c>
      <c r="P21">
        <v>0.32500000000000001</v>
      </c>
    </row>
    <row r="22" spans="1:16" x14ac:dyDescent="0.25">
      <c r="F22">
        <v>0.74347826086956526</v>
      </c>
      <c r="O22">
        <v>4.1304347826086954E-2</v>
      </c>
      <c r="P22">
        <v>0.32500000000000001</v>
      </c>
    </row>
    <row r="23" spans="1:16" x14ac:dyDescent="0.25">
      <c r="F23">
        <v>0.78260869565217395</v>
      </c>
      <c r="O23">
        <v>4.3478260869565216E-2</v>
      </c>
      <c r="P23">
        <v>0.32500000000000001</v>
      </c>
    </row>
    <row r="24" spans="1:16" x14ac:dyDescent="0.25">
      <c r="O24">
        <v>4.5652173913043478E-2</v>
      </c>
      <c r="P24">
        <v>0.32500000000000001</v>
      </c>
    </row>
    <row r="25" spans="1:16" x14ac:dyDescent="0.25">
      <c r="I25">
        <v>5</v>
      </c>
      <c r="J25">
        <v>6</v>
      </c>
      <c r="O25">
        <v>4.7826086956521741E-2</v>
      </c>
      <c r="P25">
        <v>0.32500000000000001</v>
      </c>
    </row>
    <row r="26" spans="1:16" x14ac:dyDescent="0.25">
      <c r="D26" t="s">
        <v>29</v>
      </c>
      <c r="E26">
        <f>BasicValue!D17</f>
        <v>0</v>
      </c>
      <c r="O26">
        <v>0.05</v>
      </c>
      <c r="P26">
        <v>0.32500000000000001</v>
      </c>
    </row>
    <row r="27" spans="1:16" x14ac:dyDescent="0.25">
      <c r="A27">
        <v>1</v>
      </c>
      <c r="D27" t="s">
        <v>30</v>
      </c>
      <c r="E27">
        <f>Input!I3</f>
        <v>0</v>
      </c>
      <c r="O27">
        <v>5.2173913043478258E-2</v>
      </c>
      <c r="P27">
        <v>0.32500000000000001</v>
      </c>
    </row>
    <row r="28" spans="1:16" x14ac:dyDescent="0.25">
      <c r="D28" t="s">
        <v>31</v>
      </c>
      <c r="E28">
        <f>Input!G3</f>
        <v>0</v>
      </c>
      <c r="O28">
        <v>5.434782608695652E-2</v>
      </c>
      <c r="P28">
        <v>0.32500000000000001</v>
      </c>
    </row>
    <row r="29" spans="1:16" x14ac:dyDescent="0.25">
      <c r="H29">
        <f>COUNTIF(Input!3:3,"&gt;0")</f>
        <v>0</v>
      </c>
      <c r="O29">
        <v>5.6521739130434782E-2</v>
      </c>
      <c r="P29">
        <v>0.32500000000000001</v>
      </c>
    </row>
    <row r="30" spans="1:16" x14ac:dyDescent="0.25">
      <c r="O30">
        <v>5.8695652173913045E-2</v>
      </c>
      <c r="P30">
        <v>0.32500000000000001</v>
      </c>
    </row>
    <row r="31" spans="1:16" x14ac:dyDescent="0.25">
      <c r="O31">
        <v>6.0869565217391307E-2</v>
      </c>
      <c r="P31">
        <v>0.32500000000000001</v>
      </c>
    </row>
    <row r="32" spans="1:16" x14ac:dyDescent="0.25">
      <c r="O32">
        <v>6.3043478260869562E-2</v>
      </c>
      <c r="P32">
        <v>0.32500000000000001</v>
      </c>
    </row>
    <row r="33" spans="15:16" x14ac:dyDescent="0.25">
      <c r="O33">
        <v>6.5217391304347824E-2</v>
      </c>
      <c r="P33">
        <v>0.32500000000000001</v>
      </c>
    </row>
    <row r="34" spans="15:16" x14ac:dyDescent="0.25">
      <c r="O34">
        <v>6.7391304347826086E-2</v>
      </c>
      <c r="P34">
        <v>0.32500000000000001</v>
      </c>
    </row>
    <row r="35" spans="15:16" x14ac:dyDescent="0.25">
      <c r="O35">
        <v>6.9565217391304349E-2</v>
      </c>
      <c r="P35">
        <v>0.32500000000000001</v>
      </c>
    </row>
    <row r="36" spans="15:16" x14ac:dyDescent="0.25">
      <c r="O36">
        <v>7.1739130434782611E-2</v>
      </c>
      <c r="P36">
        <v>0.32500000000000001</v>
      </c>
    </row>
    <row r="37" spans="15:16" x14ac:dyDescent="0.25">
      <c r="O37">
        <v>7.3913043478260873E-2</v>
      </c>
      <c r="P37">
        <v>0.32500000000000001</v>
      </c>
    </row>
    <row r="38" spans="15:16" x14ac:dyDescent="0.25">
      <c r="O38">
        <v>7.6086956521739135E-2</v>
      </c>
      <c r="P38">
        <v>0.32500000000000001</v>
      </c>
    </row>
    <row r="39" spans="15:16" x14ac:dyDescent="0.25">
      <c r="O39">
        <v>7.8260869565217397E-2</v>
      </c>
      <c r="P39">
        <v>0.32500000000000001</v>
      </c>
    </row>
    <row r="40" spans="15:16" x14ac:dyDescent="0.25">
      <c r="O40">
        <v>8.0434782608695646E-2</v>
      </c>
      <c r="P40">
        <v>0.32500000000000001</v>
      </c>
    </row>
    <row r="41" spans="15:16" x14ac:dyDescent="0.25">
      <c r="O41">
        <v>8.2608695652173908E-2</v>
      </c>
      <c r="P41">
        <v>0.32500000000000001</v>
      </c>
    </row>
    <row r="42" spans="15:16" x14ac:dyDescent="0.25">
      <c r="O42">
        <v>8.478260869565217E-2</v>
      </c>
      <c r="P42">
        <v>0.32500000000000001</v>
      </c>
    </row>
    <row r="43" spans="15:16" x14ac:dyDescent="0.25">
      <c r="O43">
        <v>8.6956521739130432E-2</v>
      </c>
      <c r="P43">
        <v>0.32500000000000001</v>
      </c>
    </row>
    <row r="44" spans="15:16" x14ac:dyDescent="0.25">
      <c r="O44">
        <v>8.9130434782608695E-2</v>
      </c>
      <c r="P44">
        <v>0.32500000000000001</v>
      </c>
    </row>
    <row r="45" spans="15:16" x14ac:dyDescent="0.25">
      <c r="O45">
        <v>9.1304347826086957E-2</v>
      </c>
      <c r="P45">
        <v>0.32500000000000001</v>
      </c>
    </row>
    <row r="46" spans="15:16" x14ac:dyDescent="0.25">
      <c r="O46">
        <v>9.3478260869565219E-2</v>
      </c>
      <c r="P46">
        <v>0.32500000000000001</v>
      </c>
    </row>
    <row r="47" spans="15:16" x14ac:dyDescent="0.25">
      <c r="O47">
        <v>9.5652173913043481E-2</v>
      </c>
      <c r="P47">
        <v>0.32500000000000001</v>
      </c>
    </row>
    <row r="48" spans="15:16" x14ac:dyDescent="0.25">
      <c r="O48">
        <v>9.7826086956521743E-2</v>
      </c>
      <c r="P48">
        <v>0.32500000000000001</v>
      </c>
    </row>
    <row r="49" spans="15:16" x14ac:dyDescent="0.25">
      <c r="O49">
        <v>0.1</v>
      </c>
      <c r="P49">
        <v>0.32500000000000001</v>
      </c>
    </row>
    <row r="50" spans="15:16" x14ac:dyDescent="0.25">
      <c r="O50">
        <v>0.10217391304347827</v>
      </c>
      <c r="P50">
        <v>0.32500000000000001</v>
      </c>
    </row>
    <row r="51" spans="15:16" x14ac:dyDescent="0.25">
      <c r="O51">
        <v>0.10434782608695652</v>
      </c>
      <c r="P51">
        <v>0.32500000000000001</v>
      </c>
    </row>
    <row r="52" spans="15:16" x14ac:dyDescent="0.25">
      <c r="O52">
        <v>0.10652173913043478</v>
      </c>
      <c r="P52">
        <v>0.32500000000000001</v>
      </c>
    </row>
    <row r="53" spans="15:16" x14ac:dyDescent="0.25">
      <c r="O53">
        <v>0.10869565217391304</v>
      </c>
      <c r="P53">
        <v>0.32500000000000001</v>
      </c>
    </row>
    <row r="54" spans="15:16" x14ac:dyDescent="0.25">
      <c r="O54">
        <v>0.1108695652173913</v>
      </c>
      <c r="P54">
        <v>0.32500000000000001</v>
      </c>
    </row>
    <row r="55" spans="15:16" x14ac:dyDescent="0.25">
      <c r="O55">
        <v>0.11304347826086956</v>
      </c>
      <c r="P55">
        <v>0.32500000000000001</v>
      </c>
    </row>
    <row r="56" spans="15:16" x14ac:dyDescent="0.25">
      <c r="O56">
        <v>0.11521739130434783</v>
      </c>
      <c r="P56">
        <v>0.32500000000000001</v>
      </c>
    </row>
    <row r="57" spans="15:16" x14ac:dyDescent="0.25">
      <c r="O57">
        <v>0.11739130434782609</v>
      </c>
      <c r="P57">
        <v>0.32500000000000001</v>
      </c>
    </row>
    <row r="58" spans="15:16" x14ac:dyDescent="0.25">
      <c r="O58">
        <v>0.11956521739130435</v>
      </c>
      <c r="P58">
        <v>0.32500000000000001</v>
      </c>
    </row>
    <row r="59" spans="15:16" x14ac:dyDescent="0.25">
      <c r="O59">
        <v>0.12173913043478261</v>
      </c>
      <c r="P59">
        <v>0.32500000000000001</v>
      </c>
    </row>
    <row r="60" spans="15:16" x14ac:dyDescent="0.25">
      <c r="O60">
        <v>0.12391304347826088</v>
      </c>
      <c r="P60">
        <v>0.32500000000000001</v>
      </c>
    </row>
    <row r="61" spans="15:16" x14ac:dyDescent="0.25">
      <c r="O61">
        <v>0.12608695652173912</v>
      </c>
      <c r="P61">
        <v>0.32500000000000001</v>
      </c>
    </row>
    <row r="62" spans="15:16" x14ac:dyDescent="0.25">
      <c r="O62">
        <v>0.1282608695652174</v>
      </c>
      <c r="P62">
        <v>0.32500000000000001</v>
      </c>
    </row>
    <row r="63" spans="15:16" x14ac:dyDescent="0.25">
      <c r="O63">
        <v>0.13043478260869565</v>
      </c>
      <c r="P63">
        <v>0.32500000000000001</v>
      </c>
    </row>
    <row r="64" spans="15:16" x14ac:dyDescent="0.25">
      <c r="O64">
        <v>0.13260869565217392</v>
      </c>
      <c r="P64">
        <v>0.32500000000000001</v>
      </c>
    </row>
    <row r="65" spans="15:16" x14ac:dyDescent="0.25">
      <c r="O65">
        <v>0.13478260869565217</v>
      </c>
      <c r="P65">
        <v>0.32500000000000001</v>
      </c>
    </row>
    <row r="66" spans="15:16" x14ac:dyDescent="0.25">
      <c r="O66">
        <v>0.13695652173913042</v>
      </c>
      <c r="P66">
        <v>0.32500000000000001</v>
      </c>
    </row>
    <row r="67" spans="15:16" x14ac:dyDescent="0.25">
      <c r="O67">
        <v>0.1391304347826087</v>
      </c>
      <c r="P67">
        <v>0.32500000000000001</v>
      </c>
    </row>
    <row r="68" spans="15:16" x14ac:dyDescent="0.25">
      <c r="O68">
        <v>0.14130434782608695</v>
      </c>
      <c r="P68">
        <v>0.32500000000000001</v>
      </c>
    </row>
    <row r="69" spans="15:16" x14ac:dyDescent="0.25">
      <c r="O69">
        <v>0.14347826086956522</v>
      </c>
      <c r="P69">
        <v>0.32500000000000001</v>
      </c>
    </row>
    <row r="70" spans="15:16" x14ac:dyDescent="0.25">
      <c r="O70">
        <v>0.14565217391304347</v>
      </c>
      <c r="P70">
        <v>0.32500000000000001</v>
      </c>
    </row>
    <row r="71" spans="15:16" x14ac:dyDescent="0.25">
      <c r="O71">
        <v>0.14782608695652175</v>
      </c>
      <c r="P71">
        <v>0.32500000000000001</v>
      </c>
    </row>
    <row r="72" spans="15:16" x14ac:dyDescent="0.25">
      <c r="O72">
        <v>0.15</v>
      </c>
      <c r="P72">
        <v>0.32500000000000001</v>
      </c>
    </row>
    <row r="73" spans="15:16" x14ac:dyDescent="0.25">
      <c r="O73">
        <v>0.15217391304347827</v>
      </c>
      <c r="P73">
        <v>0.32500000000000001</v>
      </c>
    </row>
    <row r="74" spans="15:16" x14ac:dyDescent="0.25">
      <c r="O74">
        <v>0.15434782608695652</v>
      </c>
      <c r="P74">
        <v>0.32500000000000001</v>
      </c>
    </row>
    <row r="75" spans="15:16" x14ac:dyDescent="0.25">
      <c r="O75">
        <v>0.15652173913043479</v>
      </c>
      <c r="P75">
        <v>0.32500000000000001</v>
      </c>
    </row>
    <row r="76" spans="15:16" x14ac:dyDescent="0.25">
      <c r="O76">
        <v>0.15869565217391304</v>
      </c>
      <c r="P76">
        <v>0.32500000000000001</v>
      </c>
    </row>
    <row r="77" spans="15:16" x14ac:dyDescent="0.25">
      <c r="O77">
        <v>0.16086956521739129</v>
      </c>
      <c r="P77">
        <v>0.32500000000000001</v>
      </c>
    </row>
    <row r="78" spans="15:16" x14ac:dyDescent="0.25">
      <c r="O78">
        <v>0.16304347826086957</v>
      </c>
      <c r="P78">
        <v>0.32500000000000001</v>
      </c>
    </row>
    <row r="79" spans="15:16" x14ac:dyDescent="0.25">
      <c r="O79">
        <v>0.16521739130434782</v>
      </c>
      <c r="P79">
        <v>0.32500000000000001</v>
      </c>
    </row>
    <row r="80" spans="15:16" x14ac:dyDescent="0.25">
      <c r="O80">
        <v>0.16739130434782609</v>
      </c>
      <c r="P80">
        <v>0.32500000000000001</v>
      </c>
    </row>
    <row r="81" spans="6:16" x14ac:dyDescent="0.25">
      <c r="O81">
        <v>0.16956521739130434</v>
      </c>
      <c r="P81">
        <v>0.32500000000000001</v>
      </c>
    </row>
    <row r="82" spans="6:16" x14ac:dyDescent="0.25">
      <c r="O82">
        <v>0.17173913043478262</v>
      </c>
      <c r="P82">
        <v>0.32500000000000001</v>
      </c>
    </row>
    <row r="83" spans="6:16" x14ac:dyDescent="0.25">
      <c r="O83">
        <v>0.17391304347826086</v>
      </c>
      <c r="P83">
        <v>0.32500000000000001</v>
      </c>
    </row>
    <row r="84" spans="6:16" x14ac:dyDescent="0.25">
      <c r="O84">
        <v>0.17608695652173914</v>
      </c>
      <c r="P84">
        <v>0.32500000000000001</v>
      </c>
    </row>
    <row r="85" spans="6:16" x14ac:dyDescent="0.25">
      <c r="O85">
        <v>0.17826086956521739</v>
      </c>
      <c r="P85">
        <v>0.32500000000000001</v>
      </c>
    </row>
    <row r="86" spans="6:16" x14ac:dyDescent="0.25">
      <c r="O86">
        <v>0.18043478260869567</v>
      </c>
      <c r="P86">
        <v>0.32500000000000001</v>
      </c>
    </row>
    <row r="87" spans="6:16" x14ac:dyDescent="0.25">
      <c r="O87">
        <v>0.18260869565217391</v>
      </c>
      <c r="P87">
        <v>0.32500000000000001</v>
      </c>
    </row>
    <row r="88" spans="6:16" x14ac:dyDescent="0.25">
      <c r="O88">
        <v>0.18478260869565216</v>
      </c>
      <c r="P88">
        <v>0.32500000000000001</v>
      </c>
    </row>
    <row r="89" spans="6:16" x14ac:dyDescent="0.25">
      <c r="O89">
        <v>0.18695652173913044</v>
      </c>
      <c r="P89">
        <v>0.32500000000000001</v>
      </c>
    </row>
    <row r="90" spans="6:16" x14ac:dyDescent="0.25">
      <c r="O90">
        <v>0.18913043478260869</v>
      </c>
      <c r="P90">
        <v>0.32500000000000001</v>
      </c>
    </row>
    <row r="91" spans="6:16" x14ac:dyDescent="0.25">
      <c r="O91">
        <v>0.19130434782608696</v>
      </c>
      <c r="P91">
        <v>0.32500000000000001</v>
      </c>
    </row>
    <row r="92" spans="6:16" x14ac:dyDescent="0.25">
      <c r="O92">
        <v>0.19347826086956521</v>
      </c>
      <c r="P92">
        <v>0.32500000000000001</v>
      </c>
    </row>
    <row r="93" spans="6:16" x14ac:dyDescent="0.25">
      <c r="O93">
        <v>0.19565217391304349</v>
      </c>
      <c r="P93">
        <v>0.32500000000000001</v>
      </c>
    </row>
    <row r="94" spans="6:16" x14ac:dyDescent="0.25">
      <c r="O94">
        <v>0.19782608695652174</v>
      </c>
      <c r="P94">
        <v>0.32500000000000001</v>
      </c>
    </row>
    <row r="95" spans="6:16" x14ac:dyDescent="0.25">
      <c r="F95">
        <v>0.2</v>
      </c>
      <c r="O95">
        <v>0.2</v>
      </c>
      <c r="P95">
        <v>0.32500000000000001</v>
      </c>
    </row>
    <row r="96" spans="6:16" x14ac:dyDescent="0.25">
      <c r="F96">
        <v>0.20217391304347826</v>
      </c>
      <c r="O96">
        <v>0.20217391304347826</v>
      </c>
      <c r="P96">
        <v>0.32500000000000001</v>
      </c>
    </row>
    <row r="97" spans="6:16" x14ac:dyDescent="0.25">
      <c r="F97">
        <v>0.20434782608695654</v>
      </c>
      <c r="O97">
        <v>0.20434782608695654</v>
      </c>
      <c r="P97">
        <v>0.32500000000000001</v>
      </c>
    </row>
    <row r="98" spans="6:16" x14ac:dyDescent="0.25">
      <c r="F98">
        <v>0.20652173913043478</v>
      </c>
      <c r="O98">
        <v>0.20652173913043478</v>
      </c>
      <c r="P98">
        <v>0.32500000000000001</v>
      </c>
    </row>
    <row r="99" spans="6:16" x14ac:dyDescent="0.25">
      <c r="F99">
        <v>0.20869565217391303</v>
      </c>
      <c r="O99">
        <v>0.20869565217391303</v>
      </c>
      <c r="P99">
        <v>0.32500000000000001</v>
      </c>
    </row>
    <row r="100" spans="6:16" x14ac:dyDescent="0.25">
      <c r="F100">
        <v>0.21086956521739131</v>
      </c>
      <c r="O100">
        <v>0.21086956521739131</v>
      </c>
      <c r="P100">
        <v>0.32500000000000001</v>
      </c>
    </row>
    <row r="101" spans="6:16" x14ac:dyDescent="0.25">
      <c r="F101">
        <v>0.21304347826086956</v>
      </c>
      <c r="O101">
        <v>0.21304347826086956</v>
      </c>
      <c r="P101">
        <v>0.32500000000000001</v>
      </c>
    </row>
    <row r="102" spans="6:16" x14ac:dyDescent="0.25">
      <c r="F102">
        <v>0.21521739130434783</v>
      </c>
      <c r="O102">
        <v>0.21521739130434783</v>
      </c>
      <c r="P102">
        <v>0.32500000000000001</v>
      </c>
    </row>
    <row r="103" spans="6:16" x14ac:dyDescent="0.25">
      <c r="F103">
        <v>0.21739130434782608</v>
      </c>
      <c r="O103">
        <v>0.21739130434782608</v>
      </c>
      <c r="P103">
        <v>0.32500000000000001</v>
      </c>
    </row>
    <row r="104" spans="6:16" x14ac:dyDescent="0.25">
      <c r="F104">
        <v>0.21956521739130436</v>
      </c>
      <c r="O104">
        <v>0.21956521739130436</v>
      </c>
      <c r="P104">
        <v>0.32500000000000001</v>
      </c>
    </row>
    <row r="105" spans="6:16" x14ac:dyDescent="0.25">
      <c r="F105">
        <v>0.22173913043478261</v>
      </c>
      <c r="O105">
        <v>0.22173913043478261</v>
      </c>
      <c r="P105">
        <v>0.32500000000000001</v>
      </c>
    </row>
    <row r="106" spans="6:16" x14ac:dyDescent="0.25">
      <c r="F106">
        <v>0.22391304347826088</v>
      </c>
      <c r="O106">
        <v>0.22391304347826088</v>
      </c>
      <c r="P106">
        <v>0.32500000000000001</v>
      </c>
    </row>
    <row r="107" spans="6:16" x14ac:dyDescent="0.25">
      <c r="F107">
        <v>0.22608695652173913</v>
      </c>
      <c r="O107">
        <v>0.22608695652173913</v>
      </c>
      <c r="P107">
        <v>0.32500000000000001</v>
      </c>
    </row>
    <row r="108" spans="6:16" x14ac:dyDescent="0.25">
      <c r="F108">
        <v>0.22826086956521738</v>
      </c>
      <c r="O108">
        <v>0.22826086956521738</v>
      </c>
      <c r="P108">
        <v>0.32500000000000001</v>
      </c>
    </row>
    <row r="109" spans="6:16" x14ac:dyDescent="0.25">
      <c r="F109">
        <v>0.23043478260869565</v>
      </c>
      <c r="O109">
        <v>0.23043478260869565</v>
      </c>
      <c r="P109">
        <v>0.32500000000000001</v>
      </c>
    </row>
    <row r="110" spans="6:16" x14ac:dyDescent="0.25">
      <c r="F110">
        <v>0.2326086956521739</v>
      </c>
      <c r="O110">
        <v>0.2326086956521739</v>
      </c>
      <c r="P110">
        <v>0.32500000000000001</v>
      </c>
    </row>
    <row r="111" spans="6:16" x14ac:dyDescent="0.25">
      <c r="F111">
        <v>0.23478260869565218</v>
      </c>
      <c r="O111">
        <v>0.23478260869565218</v>
      </c>
      <c r="P111">
        <v>0.32500000000000001</v>
      </c>
    </row>
    <row r="112" spans="6:16" x14ac:dyDescent="0.25">
      <c r="F112">
        <v>0.23695652173913043</v>
      </c>
      <c r="O112">
        <v>0.23695652173913043</v>
      </c>
      <c r="P112">
        <v>0.32500000000000001</v>
      </c>
    </row>
    <row r="113" spans="6:16" x14ac:dyDescent="0.25">
      <c r="F113">
        <v>0.2391304347826087</v>
      </c>
      <c r="O113">
        <v>0.2391304347826087</v>
      </c>
      <c r="P113">
        <v>0.32500000000000001</v>
      </c>
    </row>
    <row r="114" spans="6:16" x14ac:dyDescent="0.25">
      <c r="F114">
        <v>0.24130434782608695</v>
      </c>
      <c r="O114">
        <v>0.24130434782608695</v>
      </c>
      <c r="P114">
        <v>0.32500000000000001</v>
      </c>
    </row>
    <row r="115" spans="6:16" x14ac:dyDescent="0.25">
      <c r="F115">
        <v>0.24347826086956523</v>
      </c>
      <c r="O115">
        <v>0.24347826086956523</v>
      </c>
      <c r="P115">
        <v>0.32500000000000001</v>
      </c>
    </row>
    <row r="116" spans="6:16" x14ac:dyDescent="0.25">
      <c r="F116">
        <v>0.24565217391304348</v>
      </c>
      <c r="O116">
        <v>0.24565217391304348</v>
      </c>
      <c r="P116">
        <v>0.32500000000000001</v>
      </c>
    </row>
    <row r="117" spans="6:16" x14ac:dyDescent="0.25">
      <c r="F117">
        <v>0.24782608695652175</v>
      </c>
      <c r="O117">
        <v>0.24782608695652175</v>
      </c>
      <c r="P117">
        <v>0.32500000000000001</v>
      </c>
    </row>
    <row r="118" spans="6:16" x14ac:dyDescent="0.25">
      <c r="F118">
        <v>0.25</v>
      </c>
      <c r="O118">
        <v>0.25</v>
      </c>
      <c r="P118">
        <v>0.32500000000000001</v>
      </c>
    </row>
    <row r="119" spans="6:16" x14ac:dyDescent="0.25">
      <c r="F119">
        <v>0.25217391304347825</v>
      </c>
      <c r="O119">
        <v>0.25217391304347825</v>
      </c>
      <c r="P119">
        <v>0.32500000000000001</v>
      </c>
    </row>
    <row r="120" spans="6:16" x14ac:dyDescent="0.25">
      <c r="F120">
        <v>0.2543478260869565</v>
      </c>
      <c r="O120">
        <v>0.2543478260869565</v>
      </c>
      <c r="P120">
        <v>0.32500000000000001</v>
      </c>
    </row>
    <row r="121" spans="6:16" x14ac:dyDescent="0.25">
      <c r="F121">
        <v>0.2565217391304348</v>
      </c>
      <c r="O121">
        <v>0.2565217391304348</v>
      </c>
      <c r="P121">
        <v>0.32500000000000001</v>
      </c>
    </row>
    <row r="122" spans="6:16" x14ac:dyDescent="0.25">
      <c r="F122">
        <v>0.25869565217391305</v>
      </c>
      <c r="O122">
        <v>0.25869565217391305</v>
      </c>
      <c r="P122">
        <v>0.32500000000000001</v>
      </c>
    </row>
    <row r="123" spans="6:16" x14ac:dyDescent="0.25">
      <c r="F123">
        <v>0.2608695652173913</v>
      </c>
      <c r="O123">
        <v>0.2608695652173913</v>
      </c>
      <c r="P123">
        <v>0.32500000000000001</v>
      </c>
    </row>
    <row r="124" spans="6:16" x14ac:dyDescent="0.25">
      <c r="F124">
        <v>0.26304347826086955</v>
      </c>
      <c r="O124">
        <v>0.26304347826086955</v>
      </c>
      <c r="P124">
        <v>0.32500000000000001</v>
      </c>
    </row>
    <row r="125" spans="6:16" x14ac:dyDescent="0.25">
      <c r="F125">
        <v>0.26521739130434785</v>
      </c>
      <c r="O125">
        <v>0.26521739130434785</v>
      </c>
      <c r="P125">
        <v>0.32500000000000001</v>
      </c>
    </row>
    <row r="126" spans="6:16" x14ac:dyDescent="0.25">
      <c r="F126">
        <v>0.2673913043478261</v>
      </c>
      <c r="O126">
        <v>0.2673913043478261</v>
      </c>
      <c r="P126">
        <v>0.32500000000000001</v>
      </c>
    </row>
    <row r="127" spans="6:16" x14ac:dyDescent="0.25">
      <c r="F127">
        <v>0.26956521739130435</v>
      </c>
      <c r="O127">
        <v>0.26956521739130435</v>
      </c>
      <c r="P127">
        <v>0.32500000000000001</v>
      </c>
    </row>
    <row r="128" spans="6:16" x14ac:dyDescent="0.25">
      <c r="F128">
        <v>0.27173913043478259</v>
      </c>
      <c r="O128">
        <v>0.27173913043478259</v>
      </c>
      <c r="P128">
        <v>0.32500000000000001</v>
      </c>
    </row>
    <row r="129" spans="6:16" x14ac:dyDescent="0.25">
      <c r="F129">
        <v>0.27391304347826084</v>
      </c>
      <c r="O129">
        <v>0.27391304347826084</v>
      </c>
      <c r="P129">
        <v>0.32500000000000001</v>
      </c>
    </row>
    <row r="130" spans="6:16" x14ac:dyDescent="0.25">
      <c r="F130">
        <v>0.27608695652173915</v>
      </c>
      <c r="O130">
        <v>0.27608695652173915</v>
      </c>
      <c r="P130">
        <v>0.32500000000000001</v>
      </c>
    </row>
    <row r="131" spans="6:16" x14ac:dyDescent="0.25">
      <c r="F131">
        <v>0.27826086956521739</v>
      </c>
      <c r="O131">
        <v>0.27826086956521739</v>
      </c>
      <c r="P131">
        <v>0.32500000000000001</v>
      </c>
    </row>
    <row r="132" spans="6:16" x14ac:dyDescent="0.25">
      <c r="F132">
        <v>0.28043478260869564</v>
      </c>
      <c r="O132">
        <v>0.28043478260869564</v>
      </c>
      <c r="P132">
        <v>0.32500000000000001</v>
      </c>
    </row>
    <row r="133" spans="6:16" x14ac:dyDescent="0.25">
      <c r="F133">
        <v>0.28260869565217389</v>
      </c>
      <c r="O133">
        <v>0.28260869565217389</v>
      </c>
      <c r="P133">
        <v>0.32500000000000001</v>
      </c>
    </row>
    <row r="134" spans="6:16" x14ac:dyDescent="0.25">
      <c r="F134">
        <v>0.2847826086956522</v>
      </c>
      <c r="O134">
        <v>0.2847826086956522</v>
      </c>
      <c r="P134">
        <v>0.32500000000000001</v>
      </c>
    </row>
    <row r="135" spans="6:16" x14ac:dyDescent="0.25">
      <c r="F135">
        <v>0.28695652173913044</v>
      </c>
      <c r="O135">
        <v>0.28695652173913044</v>
      </c>
      <c r="P135">
        <v>0.32500000000000001</v>
      </c>
    </row>
    <row r="136" spans="6:16" x14ac:dyDescent="0.25">
      <c r="F136">
        <v>0.28913043478260869</v>
      </c>
      <c r="O136">
        <v>0.28913043478260869</v>
      </c>
      <c r="P136">
        <v>0.32500000000000001</v>
      </c>
    </row>
    <row r="137" spans="6:16" x14ac:dyDescent="0.25">
      <c r="F137">
        <v>0.29130434782608694</v>
      </c>
      <c r="O137">
        <v>0.29130434782608694</v>
      </c>
      <c r="P137">
        <v>0.32500000000000001</v>
      </c>
    </row>
    <row r="138" spans="6:16" x14ac:dyDescent="0.25">
      <c r="F138">
        <v>0.29347826086956524</v>
      </c>
      <c r="O138">
        <v>0.29347826086956524</v>
      </c>
      <c r="P138">
        <v>0.32500000000000001</v>
      </c>
    </row>
    <row r="139" spans="6:16" x14ac:dyDescent="0.25">
      <c r="F139">
        <v>0.29565217391304349</v>
      </c>
      <c r="O139">
        <v>0.29565217391304349</v>
      </c>
      <c r="P139">
        <v>0.32500000000000001</v>
      </c>
    </row>
    <row r="140" spans="6:16" x14ac:dyDescent="0.25">
      <c r="F140">
        <v>0.29782608695652174</v>
      </c>
      <c r="O140">
        <v>0.29782608695652174</v>
      </c>
      <c r="P140">
        <v>0.32500000000000001</v>
      </c>
    </row>
    <row r="141" spans="6:16" x14ac:dyDescent="0.25">
      <c r="F141">
        <v>0.3</v>
      </c>
      <c r="O141">
        <v>0.3</v>
      </c>
      <c r="P141">
        <v>0.32500000000000001</v>
      </c>
    </row>
    <row r="142" spans="6:16" x14ac:dyDescent="0.25">
      <c r="F142">
        <v>0.30217391304347824</v>
      </c>
      <c r="O142">
        <v>0.30217391304347824</v>
      </c>
      <c r="P142">
        <v>0.32500000000000001</v>
      </c>
    </row>
    <row r="143" spans="6:16" x14ac:dyDescent="0.25">
      <c r="F143">
        <v>0.30434782608695654</v>
      </c>
      <c r="O143">
        <v>0.30434782608695654</v>
      </c>
      <c r="P143">
        <v>0.32500000000000001</v>
      </c>
    </row>
    <row r="144" spans="6:16" x14ac:dyDescent="0.25">
      <c r="F144">
        <v>0.30652173913043479</v>
      </c>
      <c r="O144">
        <v>0.30652173913043479</v>
      </c>
      <c r="P144">
        <v>0.32500000000000001</v>
      </c>
    </row>
    <row r="145" spans="6:16" x14ac:dyDescent="0.25">
      <c r="F145">
        <v>0.30869565217391304</v>
      </c>
      <c r="O145">
        <v>0.30869565217391304</v>
      </c>
      <c r="P145">
        <v>0.32500000000000001</v>
      </c>
    </row>
    <row r="146" spans="6:16" x14ac:dyDescent="0.25">
      <c r="F146">
        <v>0.31086956521739129</v>
      </c>
      <c r="O146">
        <v>0.31086956521739129</v>
      </c>
      <c r="P146">
        <v>0.32500000000000001</v>
      </c>
    </row>
    <row r="147" spans="6:16" x14ac:dyDescent="0.25">
      <c r="F147">
        <v>0.31304347826086959</v>
      </c>
      <c r="O147">
        <v>0.31304347826086959</v>
      </c>
      <c r="P147">
        <v>0.32500000000000001</v>
      </c>
    </row>
    <row r="148" spans="6:16" x14ac:dyDescent="0.25">
      <c r="F148">
        <v>0.31521739130434784</v>
      </c>
      <c r="O148">
        <v>0.31521739130434784</v>
      </c>
      <c r="P148">
        <v>0.32500000000000001</v>
      </c>
    </row>
    <row r="149" spans="6:16" x14ac:dyDescent="0.25">
      <c r="F149">
        <v>0.31739130434782609</v>
      </c>
      <c r="O149">
        <v>0.31739130434782609</v>
      </c>
      <c r="P149">
        <v>0.32500000000000001</v>
      </c>
    </row>
    <row r="150" spans="6:16" x14ac:dyDescent="0.25">
      <c r="F150">
        <v>0.31956521739130433</v>
      </c>
      <c r="O150">
        <v>0.31956521739130433</v>
      </c>
      <c r="P150">
        <v>0.32500000000000001</v>
      </c>
    </row>
    <row r="151" spans="6:16" x14ac:dyDescent="0.25">
      <c r="F151">
        <v>0.32173913043478258</v>
      </c>
      <c r="O151">
        <v>0.32173913043478258</v>
      </c>
      <c r="P151">
        <v>0.32500000000000001</v>
      </c>
    </row>
    <row r="152" spans="6:16" x14ac:dyDescent="0.25">
      <c r="F152">
        <v>0.32391304347826089</v>
      </c>
      <c r="O152">
        <v>0.32391304347826089</v>
      </c>
      <c r="P152">
        <v>0.32500000000000001</v>
      </c>
    </row>
    <row r="153" spans="6:16" x14ac:dyDescent="0.25">
      <c r="F153">
        <v>0.32608695652173914</v>
      </c>
      <c r="O153">
        <v>0.32608695652173914</v>
      </c>
      <c r="P153">
        <v>0.32500000000000001</v>
      </c>
    </row>
    <row r="154" spans="6:16" x14ac:dyDescent="0.25">
      <c r="F154">
        <v>0.32826086956521738</v>
      </c>
      <c r="O154">
        <v>0.32826086956521738</v>
      </c>
      <c r="P154">
        <v>0.32500000000000001</v>
      </c>
    </row>
    <row r="155" spans="6:16" x14ac:dyDescent="0.25">
      <c r="F155">
        <v>0.33043478260869563</v>
      </c>
      <c r="O155">
        <v>0.33043478260869563</v>
      </c>
      <c r="P155">
        <v>0.32500000000000001</v>
      </c>
    </row>
    <row r="156" spans="6:16" x14ac:dyDescent="0.25">
      <c r="F156">
        <v>0.33260869565217394</v>
      </c>
      <c r="O156">
        <v>0.33260869565217394</v>
      </c>
      <c r="P156">
        <v>0.32500000000000001</v>
      </c>
    </row>
    <row r="157" spans="6:16" x14ac:dyDescent="0.25">
      <c r="F157">
        <v>0.33478260869565218</v>
      </c>
      <c r="O157">
        <v>0.33478260869565218</v>
      </c>
      <c r="P157">
        <v>0.32500000000000001</v>
      </c>
    </row>
    <row r="158" spans="6:16" x14ac:dyDescent="0.25">
      <c r="F158">
        <v>0.33695652173913043</v>
      </c>
      <c r="O158">
        <v>0.33695652173913043</v>
      </c>
      <c r="P158">
        <v>0.32500000000000001</v>
      </c>
    </row>
    <row r="159" spans="6:16" x14ac:dyDescent="0.25">
      <c r="F159">
        <v>0.33913043478260868</v>
      </c>
      <c r="O159">
        <v>0.33913043478260868</v>
      </c>
      <c r="P159">
        <v>0.32500000000000001</v>
      </c>
    </row>
    <row r="160" spans="6:16" x14ac:dyDescent="0.25">
      <c r="F160">
        <v>0.34130434782608693</v>
      </c>
      <c r="O160">
        <v>0.34130434782608693</v>
      </c>
      <c r="P160">
        <v>0.32500000000000001</v>
      </c>
    </row>
    <row r="161" spans="6:16" x14ac:dyDescent="0.25">
      <c r="F161">
        <v>0.34347826086956523</v>
      </c>
      <c r="O161">
        <v>0.34347826086956523</v>
      </c>
      <c r="P161">
        <v>0.32500000000000001</v>
      </c>
    </row>
    <row r="162" spans="6:16" x14ac:dyDescent="0.25">
      <c r="F162">
        <v>0.34565217391304348</v>
      </c>
      <c r="O162">
        <v>0.34565217391304348</v>
      </c>
      <c r="P162">
        <v>0.32500000000000001</v>
      </c>
    </row>
    <row r="163" spans="6:16" x14ac:dyDescent="0.25">
      <c r="F163">
        <v>0.34782608695652173</v>
      </c>
      <c r="O163">
        <v>0.34782608695652173</v>
      </c>
      <c r="P163">
        <v>0.32500000000000001</v>
      </c>
    </row>
    <row r="164" spans="6:16" x14ac:dyDescent="0.25">
      <c r="F164">
        <v>0.35</v>
      </c>
      <c r="O164">
        <v>0.35</v>
      </c>
      <c r="P164">
        <v>0.32500000000000001</v>
      </c>
    </row>
    <row r="165" spans="6:16" x14ac:dyDescent="0.25">
      <c r="F165">
        <v>0.35217391304347828</v>
      </c>
      <c r="O165">
        <v>0.35217391304347828</v>
      </c>
      <c r="P165">
        <v>0.32500000000000001</v>
      </c>
    </row>
    <row r="166" spans="6:16" x14ac:dyDescent="0.25">
      <c r="F166">
        <v>0.35434782608695653</v>
      </c>
      <c r="O166">
        <v>0.35434782608695653</v>
      </c>
      <c r="P166">
        <v>0.32500000000000001</v>
      </c>
    </row>
    <row r="167" spans="6:16" x14ac:dyDescent="0.25">
      <c r="F167">
        <v>0.35652173913043478</v>
      </c>
      <c r="O167">
        <v>0.35652173913043478</v>
      </c>
      <c r="P167">
        <v>0.32500000000000001</v>
      </c>
    </row>
    <row r="168" spans="6:16" x14ac:dyDescent="0.25">
      <c r="F168">
        <v>0.35869565217391303</v>
      </c>
      <c r="O168">
        <v>0.35869565217391303</v>
      </c>
      <c r="P168">
        <v>0.32500000000000001</v>
      </c>
    </row>
    <row r="169" spans="6:16" x14ac:dyDescent="0.25">
      <c r="F169">
        <v>0.36086956521739133</v>
      </c>
      <c r="O169">
        <v>0.36086956521739133</v>
      </c>
      <c r="P169">
        <v>0.32500000000000001</v>
      </c>
    </row>
    <row r="170" spans="6:16" x14ac:dyDescent="0.25">
      <c r="F170">
        <v>0.36304347826086958</v>
      </c>
      <c r="O170">
        <v>0.36304347826086958</v>
      </c>
      <c r="P170">
        <v>0.32500000000000001</v>
      </c>
    </row>
    <row r="171" spans="6:16" x14ac:dyDescent="0.25">
      <c r="F171">
        <v>0.36521739130434783</v>
      </c>
      <c r="O171">
        <v>0.36521739130434783</v>
      </c>
      <c r="P171">
        <v>0.32500000000000001</v>
      </c>
    </row>
    <row r="172" spans="6:16" x14ac:dyDescent="0.25">
      <c r="F172">
        <v>0.36739130434782608</v>
      </c>
      <c r="O172">
        <v>0.36739130434782608</v>
      </c>
      <c r="P172">
        <v>0.32500000000000001</v>
      </c>
    </row>
    <row r="173" spans="6:16" x14ac:dyDescent="0.25">
      <c r="F173">
        <v>0.36956521739130432</v>
      </c>
      <c r="O173">
        <v>0.36956521739130432</v>
      </c>
      <c r="P173">
        <v>0.32500000000000001</v>
      </c>
    </row>
    <row r="174" spans="6:16" x14ac:dyDescent="0.25">
      <c r="F174">
        <v>0.37173913043478263</v>
      </c>
      <c r="O174">
        <v>0.37173913043478263</v>
      </c>
      <c r="P174">
        <v>0.32500000000000001</v>
      </c>
    </row>
    <row r="175" spans="6:16" x14ac:dyDescent="0.25">
      <c r="F175">
        <v>0.37391304347826088</v>
      </c>
      <c r="O175">
        <v>0.37391304347826088</v>
      </c>
      <c r="P175">
        <v>0.32500000000000001</v>
      </c>
    </row>
    <row r="176" spans="6:16" x14ac:dyDescent="0.25">
      <c r="F176">
        <v>0.37608695652173912</v>
      </c>
      <c r="O176">
        <v>0.37608695652173912</v>
      </c>
      <c r="P176">
        <v>0.32500000000000001</v>
      </c>
    </row>
    <row r="177" spans="6:16" x14ac:dyDescent="0.25">
      <c r="F177">
        <v>0.37826086956521737</v>
      </c>
      <c r="O177">
        <v>0.37826086956521737</v>
      </c>
      <c r="P177">
        <v>0.32500000000000001</v>
      </c>
    </row>
    <row r="178" spans="6:16" x14ac:dyDescent="0.25">
      <c r="F178">
        <v>0.38043478260869568</v>
      </c>
      <c r="O178">
        <v>0.38043478260869568</v>
      </c>
      <c r="P178">
        <v>0.32500000000000001</v>
      </c>
    </row>
    <row r="179" spans="6:16" x14ac:dyDescent="0.25">
      <c r="F179">
        <v>0.38260869565217392</v>
      </c>
      <c r="O179">
        <v>0.38260869565217392</v>
      </c>
      <c r="P179">
        <v>0.32500000000000001</v>
      </c>
    </row>
    <row r="180" spans="6:16" x14ac:dyDescent="0.25">
      <c r="F180">
        <v>0.38478260869565217</v>
      </c>
      <c r="O180">
        <v>0.38478260869565217</v>
      </c>
      <c r="P180">
        <v>0.32500000000000001</v>
      </c>
    </row>
    <row r="181" spans="6:16" x14ac:dyDescent="0.25">
      <c r="F181">
        <v>0.38695652173913042</v>
      </c>
      <c r="O181">
        <v>0.38695652173913042</v>
      </c>
      <c r="P181">
        <v>0.32500000000000001</v>
      </c>
    </row>
    <row r="182" spans="6:16" x14ac:dyDescent="0.25">
      <c r="F182">
        <v>0.38913043478260867</v>
      </c>
      <c r="O182">
        <v>0.38913043478260867</v>
      </c>
      <c r="P182">
        <v>0.32500000000000001</v>
      </c>
    </row>
    <row r="183" spans="6:16" x14ac:dyDescent="0.25">
      <c r="F183">
        <v>0.39130434782608697</v>
      </c>
      <c r="O183">
        <v>0.39130434782608697</v>
      </c>
      <c r="P183">
        <v>0.32500000000000001</v>
      </c>
    </row>
    <row r="184" spans="6:16" x14ac:dyDescent="0.25">
      <c r="F184">
        <v>0.39347826086956522</v>
      </c>
      <c r="O184">
        <v>0.39347826086956522</v>
      </c>
      <c r="P184">
        <v>0.32500000000000001</v>
      </c>
    </row>
    <row r="185" spans="6:16" x14ac:dyDescent="0.25">
      <c r="F185">
        <v>0.39565217391304347</v>
      </c>
      <c r="O185">
        <v>0.39565217391304347</v>
      </c>
      <c r="P185">
        <v>0.32500000000000001</v>
      </c>
    </row>
    <row r="186" spans="6:16" x14ac:dyDescent="0.25">
      <c r="F186">
        <v>0.39782608695652172</v>
      </c>
      <c r="O186">
        <v>0.39782608695652172</v>
      </c>
      <c r="P186">
        <v>0.32500000000000001</v>
      </c>
    </row>
    <row r="187" spans="6:16" x14ac:dyDescent="0.25">
      <c r="F187">
        <v>0.4</v>
      </c>
      <c r="O187">
        <v>0.4</v>
      </c>
      <c r="P187">
        <v>0.32500000000000001</v>
      </c>
    </row>
    <row r="188" spans="6:16" x14ac:dyDescent="0.25">
      <c r="F188">
        <v>0.40217391304347827</v>
      </c>
      <c r="O188">
        <v>0.40217391304347827</v>
      </c>
      <c r="P188">
        <v>0.32500000000000001</v>
      </c>
    </row>
    <row r="189" spans="6:16" x14ac:dyDescent="0.25">
      <c r="F189">
        <v>0.40434782608695652</v>
      </c>
      <c r="O189">
        <v>0.40434782608695652</v>
      </c>
      <c r="P189">
        <v>0.32500000000000001</v>
      </c>
    </row>
    <row r="190" spans="6:16" x14ac:dyDescent="0.25">
      <c r="F190">
        <v>0.40652173913043477</v>
      </c>
      <c r="O190">
        <v>0.40652173913043477</v>
      </c>
      <c r="P190">
        <v>0.32500000000000001</v>
      </c>
    </row>
    <row r="191" spans="6:16" x14ac:dyDescent="0.25">
      <c r="F191">
        <v>0.40869565217391307</v>
      </c>
      <c r="O191">
        <v>0.40869565217391307</v>
      </c>
      <c r="P191">
        <v>0.32500000000000001</v>
      </c>
    </row>
    <row r="192" spans="6:16" x14ac:dyDescent="0.25">
      <c r="F192">
        <v>0.41086956521739132</v>
      </c>
      <c r="O192">
        <v>0.41086956521739132</v>
      </c>
      <c r="P192">
        <v>0.32500000000000001</v>
      </c>
    </row>
    <row r="193" spans="6:16" x14ac:dyDescent="0.25">
      <c r="F193">
        <v>0.41304347826086957</v>
      </c>
      <c r="O193">
        <v>0.41304347826086957</v>
      </c>
      <c r="P193">
        <v>0.32500000000000001</v>
      </c>
    </row>
    <row r="194" spans="6:16" x14ac:dyDescent="0.25">
      <c r="F194">
        <v>0.41521739130434782</v>
      </c>
      <c r="O194">
        <v>0.41521739130434782</v>
      </c>
      <c r="P194">
        <v>0.32500000000000001</v>
      </c>
    </row>
    <row r="195" spans="6:16" x14ac:dyDescent="0.25">
      <c r="F195">
        <v>0.41739130434782606</v>
      </c>
      <c r="O195">
        <v>0.41739130434782606</v>
      </c>
      <c r="P195">
        <v>0.32500000000000001</v>
      </c>
    </row>
    <row r="196" spans="6:16" x14ac:dyDescent="0.25">
      <c r="F196">
        <v>0.41956521739130437</v>
      </c>
      <c r="O196">
        <v>0.41956521739130437</v>
      </c>
      <c r="P196">
        <v>0.32500000000000001</v>
      </c>
    </row>
    <row r="197" spans="6:16" x14ac:dyDescent="0.25">
      <c r="F197">
        <v>0.42173913043478262</v>
      </c>
      <c r="O197">
        <v>0.42173913043478262</v>
      </c>
      <c r="P197">
        <v>0.32500000000000001</v>
      </c>
    </row>
    <row r="198" spans="6:16" x14ac:dyDescent="0.25">
      <c r="F198">
        <v>0.42391304347826086</v>
      </c>
      <c r="O198">
        <v>0.42391304347826086</v>
      </c>
      <c r="P198">
        <v>0.32500000000000001</v>
      </c>
    </row>
    <row r="199" spans="6:16" x14ac:dyDescent="0.25">
      <c r="F199">
        <v>0.42608695652173911</v>
      </c>
      <c r="O199">
        <v>0.42608695652173911</v>
      </c>
      <c r="P199">
        <v>0.32500000000000001</v>
      </c>
    </row>
    <row r="200" spans="6:16" x14ac:dyDescent="0.25">
      <c r="F200">
        <v>0.42826086956521742</v>
      </c>
      <c r="O200">
        <v>0.42826086956521742</v>
      </c>
      <c r="P200">
        <v>0.32500000000000001</v>
      </c>
    </row>
    <row r="201" spans="6:16" x14ac:dyDescent="0.25">
      <c r="F201">
        <v>0.43043478260869567</v>
      </c>
      <c r="O201">
        <v>0.43043478260869567</v>
      </c>
      <c r="P201">
        <v>0.32500000000000001</v>
      </c>
    </row>
    <row r="202" spans="6:16" x14ac:dyDescent="0.25">
      <c r="F202">
        <v>0.43260869565217391</v>
      </c>
      <c r="O202">
        <v>0.43260869565217391</v>
      </c>
      <c r="P202">
        <v>0.32500000000000001</v>
      </c>
    </row>
    <row r="203" spans="6:16" x14ac:dyDescent="0.25">
      <c r="F203">
        <v>0.43478260869565216</v>
      </c>
      <c r="O203">
        <v>0.43478260869565216</v>
      </c>
      <c r="P203">
        <v>0.32500000000000001</v>
      </c>
    </row>
    <row r="204" spans="6:16" x14ac:dyDescent="0.25">
      <c r="F204">
        <v>0.43695652173913041</v>
      </c>
      <c r="O204">
        <v>0.43695652173913041</v>
      </c>
      <c r="P204">
        <v>0.32500000000000001</v>
      </c>
    </row>
    <row r="205" spans="6:16" x14ac:dyDescent="0.25">
      <c r="F205">
        <v>0.43913043478260871</v>
      </c>
      <c r="O205">
        <v>0.43913043478260871</v>
      </c>
      <c r="P205">
        <v>0.32500000000000001</v>
      </c>
    </row>
    <row r="206" spans="6:16" x14ac:dyDescent="0.25">
      <c r="F206">
        <v>0.44130434782608696</v>
      </c>
      <c r="O206">
        <v>0.44130434782608696</v>
      </c>
      <c r="P206">
        <v>0.32500000000000001</v>
      </c>
    </row>
    <row r="207" spans="6:16" x14ac:dyDescent="0.25">
      <c r="F207">
        <v>0.44347826086956521</v>
      </c>
      <c r="O207">
        <v>0.44347826086956521</v>
      </c>
      <c r="P207">
        <v>0.32500000000000001</v>
      </c>
    </row>
    <row r="208" spans="6:16" x14ac:dyDescent="0.25">
      <c r="F208">
        <v>0.44565217391304346</v>
      </c>
      <c r="O208">
        <v>0.44565217391304346</v>
      </c>
      <c r="P208">
        <v>0.32500000000000001</v>
      </c>
    </row>
    <row r="209" spans="6:16" x14ac:dyDescent="0.25">
      <c r="F209">
        <v>0.44782608695652176</v>
      </c>
      <c r="O209">
        <v>0.44782608695652176</v>
      </c>
      <c r="P209">
        <v>0.32500000000000001</v>
      </c>
    </row>
    <row r="210" spans="6:16" x14ac:dyDescent="0.25">
      <c r="F210">
        <v>0.45</v>
      </c>
      <c r="O210">
        <v>0.45</v>
      </c>
      <c r="P210">
        <v>0.32500000000000001</v>
      </c>
    </row>
    <row r="211" spans="6:16" x14ac:dyDescent="0.25">
      <c r="F211">
        <v>0.45217391304347826</v>
      </c>
      <c r="O211">
        <v>0.45217391304347826</v>
      </c>
      <c r="P211">
        <v>0.32500000000000001</v>
      </c>
    </row>
    <row r="212" spans="6:16" x14ac:dyDescent="0.25">
      <c r="F212">
        <v>0.45434782608695651</v>
      </c>
      <c r="O212">
        <v>0.45434782608695651</v>
      </c>
      <c r="P212">
        <v>0.32500000000000001</v>
      </c>
    </row>
    <row r="213" spans="6:16" x14ac:dyDescent="0.25">
      <c r="F213">
        <v>0.45652173913043476</v>
      </c>
      <c r="O213">
        <v>0.45652173913043476</v>
      </c>
      <c r="P213">
        <v>0.32500000000000001</v>
      </c>
    </row>
    <row r="214" spans="6:16" x14ac:dyDescent="0.25">
      <c r="F214">
        <v>0.45869565217391306</v>
      </c>
      <c r="O214">
        <v>0.45869565217391306</v>
      </c>
      <c r="P214">
        <v>0.32500000000000001</v>
      </c>
    </row>
    <row r="215" spans="6:16" x14ac:dyDescent="0.25">
      <c r="F215">
        <v>0.46086956521739131</v>
      </c>
      <c r="O215">
        <v>0.46086956521739131</v>
      </c>
      <c r="P215">
        <v>0.32500000000000001</v>
      </c>
    </row>
    <row r="216" spans="6:16" x14ac:dyDescent="0.25">
      <c r="F216">
        <v>0.46304347826086956</v>
      </c>
      <c r="O216">
        <v>0.46304347826086956</v>
      </c>
      <c r="P216">
        <v>0.32500000000000001</v>
      </c>
    </row>
    <row r="217" spans="6:16" x14ac:dyDescent="0.25">
      <c r="F217">
        <v>0.4652173913043478</v>
      </c>
      <c r="O217">
        <v>0.4652173913043478</v>
      </c>
      <c r="P217">
        <v>0.32500000000000001</v>
      </c>
    </row>
    <row r="218" spans="6:16" x14ac:dyDescent="0.25">
      <c r="F218">
        <v>0.46739130434782611</v>
      </c>
      <c r="O218">
        <v>0.46739130434782611</v>
      </c>
      <c r="P218">
        <v>0.32500000000000001</v>
      </c>
    </row>
    <row r="219" spans="6:16" x14ac:dyDescent="0.25">
      <c r="F219">
        <v>0.46956521739130436</v>
      </c>
      <c r="O219">
        <v>0.46956521739130436</v>
      </c>
      <c r="P219">
        <v>0.32500000000000001</v>
      </c>
    </row>
    <row r="220" spans="6:16" x14ac:dyDescent="0.25">
      <c r="F220">
        <v>0.47173913043478261</v>
      </c>
      <c r="O220">
        <v>0.47173913043478261</v>
      </c>
      <c r="P220">
        <v>0.32500000000000001</v>
      </c>
    </row>
    <row r="221" spans="6:16" x14ac:dyDescent="0.25">
      <c r="F221">
        <v>0.47391304347826085</v>
      </c>
      <c r="O221">
        <v>0.47391304347826085</v>
      </c>
      <c r="P221">
        <v>0.32500000000000001</v>
      </c>
    </row>
    <row r="222" spans="6:16" x14ac:dyDescent="0.25">
      <c r="F222">
        <v>0.47608695652173916</v>
      </c>
      <c r="O222">
        <v>0.47608695652173916</v>
      </c>
      <c r="P222">
        <v>0.32500000000000001</v>
      </c>
    </row>
    <row r="223" spans="6:16" x14ac:dyDescent="0.25">
      <c r="F223">
        <v>0.47826086956521741</v>
      </c>
      <c r="O223">
        <v>0.47826086956521741</v>
      </c>
      <c r="P223">
        <v>0.32500000000000001</v>
      </c>
    </row>
    <row r="224" spans="6:16" x14ac:dyDescent="0.25">
      <c r="F224">
        <v>0.48043478260869565</v>
      </c>
      <c r="O224">
        <v>0.48043478260869565</v>
      </c>
      <c r="P224">
        <v>0.32500000000000001</v>
      </c>
    </row>
    <row r="225" spans="6:16" x14ac:dyDescent="0.25">
      <c r="F225">
        <v>0.4826086956521739</v>
      </c>
      <c r="O225">
        <v>0.4826086956521739</v>
      </c>
      <c r="P225">
        <v>0.32500000000000001</v>
      </c>
    </row>
    <row r="226" spans="6:16" x14ac:dyDescent="0.25">
      <c r="F226">
        <v>0.48478260869565215</v>
      </c>
      <c r="O226">
        <v>0.48478260869565215</v>
      </c>
      <c r="P226">
        <v>0.32500000000000001</v>
      </c>
    </row>
    <row r="227" spans="6:16" x14ac:dyDescent="0.25">
      <c r="F227">
        <v>0.48695652173913045</v>
      </c>
      <c r="O227">
        <v>0.48695652173913045</v>
      </c>
      <c r="P227">
        <v>0.32500000000000001</v>
      </c>
    </row>
    <row r="228" spans="6:16" x14ac:dyDescent="0.25">
      <c r="F228">
        <v>0.4891304347826087</v>
      </c>
      <c r="O228">
        <v>0.4891304347826087</v>
      </c>
      <c r="P228">
        <v>0.32500000000000001</v>
      </c>
    </row>
    <row r="229" spans="6:16" x14ac:dyDescent="0.25">
      <c r="F229">
        <v>0.49130434782608695</v>
      </c>
      <c r="O229">
        <v>0.49130434782608695</v>
      </c>
      <c r="P229">
        <v>0.32500000000000001</v>
      </c>
    </row>
    <row r="230" spans="6:16" x14ac:dyDescent="0.25">
      <c r="F230">
        <v>0.4934782608695652</v>
      </c>
      <c r="O230">
        <v>0.4934782608695652</v>
      </c>
      <c r="P230">
        <v>0.32500000000000001</v>
      </c>
    </row>
    <row r="231" spans="6:16" x14ac:dyDescent="0.25">
      <c r="F231">
        <v>0.4956521739130435</v>
      </c>
      <c r="O231">
        <v>0.4956521739130435</v>
      </c>
      <c r="P231">
        <v>0.32500000000000001</v>
      </c>
    </row>
    <row r="232" spans="6:16" x14ac:dyDescent="0.25">
      <c r="F232">
        <v>0.49782608695652175</v>
      </c>
      <c r="O232">
        <v>0.49782608695652175</v>
      </c>
      <c r="P232">
        <v>0.32500000000000001</v>
      </c>
    </row>
    <row r="233" spans="6:16" x14ac:dyDescent="0.25">
      <c r="F233">
        <v>0.5</v>
      </c>
      <c r="O233">
        <v>0.5</v>
      </c>
      <c r="P233">
        <v>0.32500000000000001</v>
      </c>
    </row>
    <row r="234" spans="6:16" x14ac:dyDescent="0.25">
      <c r="F234">
        <v>0.50217391304347825</v>
      </c>
      <c r="O234">
        <v>0.50217391304347825</v>
      </c>
      <c r="P234">
        <v>0.32500000000000001</v>
      </c>
    </row>
    <row r="235" spans="6:16" x14ac:dyDescent="0.25">
      <c r="F235">
        <v>0.5043478260869565</v>
      </c>
      <c r="O235">
        <v>0.5043478260869565</v>
      </c>
      <c r="P235">
        <v>0.32500000000000001</v>
      </c>
    </row>
    <row r="236" spans="6:16" x14ac:dyDescent="0.25">
      <c r="F236">
        <v>0.50652173913043474</v>
      </c>
      <c r="O236">
        <v>0.50652173913043474</v>
      </c>
      <c r="P236">
        <v>0.32500000000000001</v>
      </c>
    </row>
    <row r="237" spans="6:16" x14ac:dyDescent="0.25">
      <c r="F237">
        <v>0.50869565217391299</v>
      </c>
      <c r="O237">
        <v>0.50869565217391299</v>
      </c>
      <c r="P237">
        <v>0.32500000000000001</v>
      </c>
    </row>
    <row r="238" spans="6:16" x14ac:dyDescent="0.25">
      <c r="F238">
        <v>0.51086956521739135</v>
      </c>
      <c r="O238">
        <v>0.51086956521739135</v>
      </c>
      <c r="P238">
        <v>0.32500000000000001</v>
      </c>
    </row>
    <row r="239" spans="6:16" x14ac:dyDescent="0.25">
      <c r="F239">
        <v>0.5130434782608696</v>
      </c>
      <c r="O239">
        <v>0.5130434782608696</v>
      </c>
      <c r="P239">
        <v>0.32500000000000001</v>
      </c>
    </row>
    <row r="240" spans="6:16" x14ac:dyDescent="0.25">
      <c r="F240">
        <v>0.51521739130434785</v>
      </c>
      <c r="O240">
        <v>0.51521739130434785</v>
      </c>
      <c r="P240">
        <v>0.32500000000000001</v>
      </c>
    </row>
    <row r="241" spans="6:16" x14ac:dyDescent="0.25">
      <c r="F241">
        <v>0.5173913043478261</v>
      </c>
      <c r="O241">
        <v>0.5173913043478261</v>
      </c>
      <c r="P241">
        <v>0.32500000000000001</v>
      </c>
    </row>
    <row r="242" spans="6:16" x14ac:dyDescent="0.25">
      <c r="F242">
        <v>0.51956521739130435</v>
      </c>
      <c r="O242">
        <v>0.51956521739130435</v>
      </c>
      <c r="P242">
        <v>0.32500000000000001</v>
      </c>
    </row>
    <row r="243" spans="6:16" x14ac:dyDescent="0.25">
      <c r="F243">
        <v>0.52173913043478259</v>
      </c>
      <c r="O243">
        <v>0.52173913043478259</v>
      </c>
      <c r="P243">
        <v>0.32500000000000001</v>
      </c>
    </row>
    <row r="244" spans="6:16" x14ac:dyDescent="0.25">
      <c r="F244">
        <v>0.52391304347826084</v>
      </c>
      <c r="O244">
        <v>0.52391304347826084</v>
      </c>
      <c r="P244">
        <v>0.32500000000000001</v>
      </c>
    </row>
    <row r="245" spans="6:16" x14ac:dyDescent="0.25">
      <c r="F245">
        <v>0.52608695652173909</v>
      </c>
      <c r="O245">
        <v>0.52608695652173909</v>
      </c>
      <c r="P245">
        <v>0.32500000000000001</v>
      </c>
    </row>
    <row r="246" spans="6:16" x14ac:dyDescent="0.25">
      <c r="F246">
        <v>0.52826086956521734</v>
      </c>
      <c r="O246">
        <v>0.52826086956521734</v>
      </c>
      <c r="P246">
        <v>0.32500000000000001</v>
      </c>
    </row>
    <row r="247" spans="6:16" x14ac:dyDescent="0.25">
      <c r="F247">
        <v>0.5304347826086957</v>
      </c>
      <c r="O247">
        <v>0.5304347826086957</v>
      </c>
      <c r="P247">
        <v>0.32500000000000001</v>
      </c>
    </row>
    <row r="248" spans="6:16" x14ac:dyDescent="0.25">
      <c r="F248">
        <v>0.53260869565217395</v>
      </c>
      <c r="O248">
        <v>0.53260869565217395</v>
      </c>
      <c r="P248">
        <v>0.32500000000000001</v>
      </c>
    </row>
    <row r="249" spans="6:16" x14ac:dyDescent="0.25">
      <c r="F249">
        <v>0.5347826086956522</v>
      </c>
      <c r="O249">
        <v>0.5347826086956522</v>
      </c>
      <c r="P249">
        <v>0.32500000000000001</v>
      </c>
    </row>
    <row r="250" spans="6:16" x14ac:dyDescent="0.25">
      <c r="F250">
        <v>0.53695652173913044</v>
      </c>
      <c r="O250">
        <v>0.53695652173913044</v>
      </c>
      <c r="P250">
        <v>0.32500000000000001</v>
      </c>
    </row>
    <row r="251" spans="6:16" x14ac:dyDescent="0.25">
      <c r="F251">
        <v>0.53913043478260869</v>
      </c>
      <c r="O251">
        <v>0.53913043478260869</v>
      </c>
      <c r="P251">
        <v>0.32500000000000001</v>
      </c>
    </row>
    <row r="252" spans="6:16" x14ac:dyDescent="0.25">
      <c r="F252">
        <v>0.54130434782608694</v>
      </c>
      <c r="O252">
        <v>0.54130434782608694</v>
      </c>
      <c r="P252">
        <v>0.32500000000000001</v>
      </c>
    </row>
    <row r="253" spans="6:16" x14ac:dyDescent="0.25">
      <c r="F253">
        <v>0.54347826086956519</v>
      </c>
      <c r="O253">
        <v>0.54347826086956519</v>
      </c>
      <c r="P253">
        <v>0.32500000000000001</v>
      </c>
    </row>
    <row r="254" spans="6:16" x14ac:dyDescent="0.25">
      <c r="F254">
        <v>0.54565217391304344</v>
      </c>
      <c r="O254">
        <v>0.54565217391304344</v>
      </c>
      <c r="P254">
        <v>0.32500000000000001</v>
      </c>
    </row>
    <row r="255" spans="6:16" x14ac:dyDescent="0.25">
      <c r="F255">
        <v>0.54782608695652169</v>
      </c>
      <c r="O255">
        <v>0.54782608695652169</v>
      </c>
      <c r="P255">
        <v>0.32500000000000001</v>
      </c>
    </row>
    <row r="256" spans="6:16" x14ac:dyDescent="0.25">
      <c r="F256">
        <v>0.55000000000000004</v>
      </c>
      <c r="O256">
        <v>0.55000000000000004</v>
      </c>
      <c r="P256">
        <v>0.32500000000000001</v>
      </c>
    </row>
    <row r="257" spans="6:16" x14ac:dyDescent="0.25">
      <c r="F257">
        <v>0.55217391304347829</v>
      </c>
      <c r="O257">
        <v>0.55217391304347829</v>
      </c>
      <c r="P257">
        <v>0.32500000000000001</v>
      </c>
    </row>
    <row r="258" spans="6:16" x14ac:dyDescent="0.25">
      <c r="F258">
        <v>0.55434782608695654</v>
      </c>
      <c r="O258">
        <v>0.55434782608695654</v>
      </c>
      <c r="P258">
        <v>0.32500000000000001</v>
      </c>
    </row>
    <row r="259" spans="6:16" x14ac:dyDescent="0.25">
      <c r="F259">
        <v>0.55652173913043479</v>
      </c>
      <c r="O259">
        <v>0.55652173913043479</v>
      </c>
      <c r="P259">
        <v>0.32500000000000001</v>
      </c>
    </row>
    <row r="260" spans="6:16" x14ac:dyDescent="0.25">
      <c r="F260">
        <v>0.55869565217391304</v>
      </c>
      <c r="O260">
        <v>0.55869565217391304</v>
      </c>
      <c r="P260">
        <v>0.32500000000000001</v>
      </c>
    </row>
    <row r="261" spans="6:16" x14ac:dyDescent="0.25">
      <c r="F261">
        <v>0.56086956521739129</v>
      </c>
      <c r="O261">
        <v>0.56086956521739129</v>
      </c>
      <c r="P261">
        <v>0.32500000000000001</v>
      </c>
    </row>
    <row r="262" spans="6:16" x14ac:dyDescent="0.25">
      <c r="F262">
        <v>0.56304347826086953</v>
      </c>
      <c r="O262">
        <v>0.56304347826086953</v>
      </c>
      <c r="P262">
        <v>0.32500000000000001</v>
      </c>
    </row>
    <row r="263" spans="6:16" x14ac:dyDescent="0.25">
      <c r="F263">
        <v>0.56521739130434778</v>
      </c>
      <c r="O263">
        <v>0.56521739130434778</v>
      </c>
      <c r="P263">
        <v>0.32500000000000001</v>
      </c>
    </row>
    <row r="264" spans="6:16" x14ac:dyDescent="0.25">
      <c r="F264">
        <v>0.56739130434782614</v>
      </c>
      <c r="O264">
        <v>0.56739130434782614</v>
      </c>
      <c r="P264">
        <v>0.32500000000000001</v>
      </c>
    </row>
    <row r="265" spans="6:16" x14ac:dyDescent="0.25">
      <c r="F265">
        <v>0.56956521739130439</v>
      </c>
      <c r="O265">
        <v>0.56956521739130439</v>
      </c>
      <c r="P265">
        <v>0.32500000000000001</v>
      </c>
    </row>
    <row r="266" spans="6:16" x14ac:dyDescent="0.25">
      <c r="F266">
        <v>0.57173913043478264</v>
      </c>
      <c r="O266">
        <v>0.57173913043478264</v>
      </c>
      <c r="P266">
        <v>0.32500000000000001</v>
      </c>
    </row>
    <row r="267" spans="6:16" x14ac:dyDescent="0.25">
      <c r="F267">
        <v>0.57391304347826089</v>
      </c>
      <c r="O267">
        <v>0.57391304347826089</v>
      </c>
      <c r="P267">
        <v>0.32500000000000001</v>
      </c>
    </row>
    <row r="268" spans="6:16" x14ac:dyDescent="0.25">
      <c r="F268">
        <v>0.57608695652173914</v>
      </c>
      <c r="O268">
        <v>0.57608695652173914</v>
      </c>
      <c r="P268">
        <v>0.32500000000000001</v>
      </c>
    </row>
    <row r="269" spans="6:16" x14ac:dyDescent="0.25">
      <c r="F269">
        <v>0.57826086956521738</v>
      </c>
      <c r="O269">
        <v>0.57826086956521738</v>
      </c>
      <c r="P269">
        <v>0.32500000000000001</v>
      </c>
    </row>
    <row r="270" spans="6:16" x14ac:dyDescent="0.25">
      <c r="F270">
        <v>0.58043478260869563</v>
      </c>
      <c r="O270">
        <v>0.58043478260869563</v>
      </c>
      <c r="P270">
        <v>0.32500000000000001</v>
      </c>
    </row>
    <row r="271" spans="6:16" x14ac:dyDescent="0.25">
      <c r="F271">
        <v>0.58260869565217388</v>
      </c>
      <c r="O271">
        <v>0.58260869565217388</v>
      </c>
      <c r="P271">
        <v>0.32500000000000001</v>
      </c>
    </row>
    <row r="272" spans="6:16" x14ac:dyDescent="0.25">
      <c r="F272">
        <v>0.58478260869565213</v>
      </c>
      <c r="O272">
        <v>0.58478260869565213</v>
      </c>
      <c r="P272">
        <v>0.32500000000000001</v>
      </c>
    </row>
    <row r="273" spans="6:16" x14ac:dyDescent="0.25">
      <c r="F273">
        <v>0.58695652173913049</v>
      </c>
      <c r="O273">
        <v>0.58695652173913049</v>
      </c>
      <c r="P273">
        <v>0.32500000000000001</v>
      </c>
    </row>
    <row r="274" spans="6:16" x14ac:dyDescent="0.25">
      <c r="F274">
        <v>0.58913043478260874</v>
      </c>
      <c r="O274">
        <v>0.58913043478260874</v>
      </c>
      <c r="P274">
        <v>0.32500000000000001</v>
      </c>
    </row>
    <row r="275" spans="6:16" x14ac:dyDescent="0.25">
      <c r="F275">
        <v>0.59130434782608698</v>
      </c>
      <c r="O275">
        <v>0.59130434782608698</v>
      </c>
      <c r="P275">
        <v>0.32500000000000001</v>
      </c>
    </row>
    <row r="276" spans="6:16" x14ac:dyDescent="0.25">
      <c r="F276">
        <v>0.59347826086956523</v>
      </c>
      <c r="O276">
        <v>0.59347826086956523</v>
      </c>
      <c r="P276">
        <v>0.32500000000000001</v>
      </c>
    </row>
    <row r="277" spans="6:16" x14ac:dyDescent="0.25">
      <c r="F277">
        <v>0.59565217391304348</v>
      </c>
      <c r="O277">
        <v>0.59565217391304348</v>
      </c>
      <c r="P277">
        <v>0.32500000000000001</v>
      </c>
    </row>
    <row r="278" spans="6:16" x14ac:dyDescent="0.25">
      <c r="F278">
        <v>0.59782608695652173</v>
      </c>
      <c r="O278">
        <v>0.59782608695652173</v>
      </c>
      <c r="P278">
        <v>0.32500000000000001</v>
      </c>
    </row>
    <row r="279" spans="6:16" x14ac:dyDescent="0.25">
      <c r="F279">
        <v>0.6</v>
      </c>
      <c r="O279">
        <v>0.6</v>
      </c>
      <c r="P279">
        <v>0.32500000000000001</v>
      </c>
    </row>
    <row r="280" spans="6:16" x14ac:dyDescent="0.25">
      <c r="F280">
        <v>0.60217391304347823</v>
      </c>
      <c r="O280">
        <v>0.60217391304347823</v>
      </c>
      <c r="P280">
        <v>0.32500000000000001</v>
      </c>
    </row>
    <row r="281" spans="6:16" x14ac:dyDescent="0.25">
      <c r="F281">
        <v>0.60434782608695647</v>
      </c>
      <c r="O281">
        <v>0.60434782608695647</v>
      </c>
      <c r="P281">
        <v>0.32500000000000001</v>
      </c>
    </row>
    <row r="282" spans="6:16" x14ac:dyDescent="0.25">
      <c r="F282">
        <v>0.60652173913043483</v>
      </c>
      <c r="O282">
        <v>0.60652173913043483</v>
      </c>
      <c r="P282">
        <v>0.32500000000000001</v>
      </c>
    </row>
    <row r="283" spans="6:16" x14ac:dyDescent="0.25">
      <c r="F283">
        <v>0.60869565217391308</v>
      </c>
      <c r="O283">
        <v>0.60869565217391308</v>
      </c>
      <c r="P283">
        <v>0.32500000000000001</v>
      </c>
    </row>
    <row r="284" spans="6:16" x14ac:dyDescent="0.25">
      <c r="F284">
        <v>0.61086956521739133</v>
      </c>
      <c r="O284">
        <v>0.61086956521739133</v>
      </c>
      <c r="P284">
        <v>0.32500000000000001</v>
      </c>
    </row>
    <row r="285" spans="6:16" x14ac:dyDescent="0.25">
      <c r="F285">
        <v>0.61304347826086958</v>
      </c>
      <c r="O285">
        <v>0.61304347826086958</v>
      </c>
      <c r="P285">
        <v>0.32500000000000001</v>
      </c>
    </row>
    <row r="286" spans="6:16" x14ac:dyDescent="0.25">
      <c r="F286">
        <v>0.61521739130434783</v>
      </c>
      <c r="O286">
        <v>0.61521739130434783</v>
      </c>
      <c r="P286">
        <v>0.32500000000000001</v>
      </c>
    </row>
    <row r="287" spans="6:16" x14ac:dyDescent="0.25">
      <c r="F287">
        <v>0.61739130434782608</v>
      </c>
      <c r="O287">
        <v>0.61739130434782608</v>
      </c>
      <c r="P287">
        <v>0.32500000000000001</v>
      </c>
    </row>
    <row r="288" spans="6:16" x14ac:dyDescent="0.25">
      <c r="F288">
        <v>0.61956521739130432</v>
      </c>
      <c r="O288">
        <v>0.61956521739130432</v>
      </c>
      <c r="P288">
        <v>0.32500000000000001</v>
      </c>
    </row>
    <row r="289" spans="6:16" x14ac:dyDescent="0.25">
      <c r="F289">
        <v>0.62173913043478257</v>
      </c>
      <c r="O289">
        <v>0.62173913043478257</v>
      </c>
      <c r="P289">
        <v>0.32500000000000001</v>
      </c>
    </row>
    <row r="290" spans="6:16" x14ac:dyDescent="0.25">
      <c r="F290">
        <v>0.62391304347826082</v>
      </c>
      <c r="O290">
        <v>0.62391304347826082</v>
      </c>
      <c r="P290">
        <v>0.32500000000000001</v>
      </c>
    </row>
    <row r="291" spans="6:16" x14ac:dyDescent="0.25">
      <c r="F291">
        <v>0.62608695652173918</v>
      </c>
      <c r="O291">
        <v>0.62608695652173918</v>
      </c>
      <c r="P291">
        <v>0.32500000000000001</v>
      </c>
    </row>
    <row r="292" spans="6:16" x14ac:dyDescent="0.25">
      <c r="F292">
        <v>0.62826086956521743</v>
      </c>
      <c r="O292">
        <v>0.62826086956521743</v>
      </c>
      <c r="P292">
        <v>0.32500000000000001</v>
      </c>
    </row>
    <row r="293" spans="6:16" x14ac:dyDescent="0.25">
      <c r="F293">
        <v>0.63043478260869568</v>
      </c>
      <c r="O293">
        <v>0.63043478260869568</v>
      </c>
      <c r="P293">
        <v>0.32500000000000001</v>
      </c>
    </row>
    <row r="294" spans="6:16" x14ac:dyDescent="0.25">
      <c r="F294">
        <v>0.63260869565217392</v>
      </c>
      <c r="O294">
        <v>0.63260869565217392</v>
      </c>
      <c r="P294">
        <v>0.32500000000000001</v>
      </c>
    </row>
    <row r="295" spans="6:16" x14ac:dyDescent="0.25">
      <c r="F295">
        <v>0.63478260869565217</v>
      </c>
      <c r="O295">
        <v>0.63478260869565217</v>
      </c>
      <c r="P295">
        <v>0.32500000000000001</v>
      </c>
    </row>
    <row r="296" spans="6:16" x14ac:dyDescent="0.25">
      <c r="F296">
        <v>0.63695652173913042</v>
      </c>
      <c r="O296">
        <v>0.63695652173913042</v>
      </c>
      <c r="P296">
        <v>0.32500000000000001</v>
      </c>
    </row>
    <row r="297" spans="6:16" x14ac:dyDescent="0.25">
      <c r="F297">
        <v>0.63913043478260867</v>
      </c>
      <c r="O297">
        <v>0.63913043478260867</v>
      </c>
      <c r="P297">
        <v>0.32500000000000001</v>
      </c>
    </row>
    <row r="298" spans="6:16" x14ac:dyDescent="0.25">
      <c r="F298">
        <v>0.64130434782608692</v>
      </c>
      <c r="O298">
        <v>0.64130434782608692</v>
      </c>
      <c r="P298">
        <v>0.32500000000000001</v>
      </c>
    </row>
    <row r="299" spans="6:16" x14ac:dyDescent="0.25">
      <c r="F299">
        <v>0.64347826086956517</v>
      </c>
      <c r="O299">
        <v>0.64347826086956517</v>
      </c>
      <c r="P299">
        <v>0.32500000000000001</v>
      </c>
    </row>
    <row r="300" spans="6:16" x14ac:dyDescent="0.25">
      <c r="F300">
        <v>0.64565217391304353</v>
      </c>
      <c r="O300">
        <v>0.64565217391304353</v>
      </c>
      <c r="P300">
        <v>0.32500000000000001</v>
      </c>
    </row>
    <row r="301" spans="6:16" x14ac:dyDescent="0.25">
      <c r="F301">
        <v>0.64782608695652177</v>
      </c>
      <c r="O301">
        <v>0.64782608695652177</v>
      </c>
      <c r="P301">
        <v>0.32500000000000001</v>
      </c>
    </row>
    <row r="302" spans="6:16" x14ac:dyDescent="0.25">
      <c r="F302">
        <v>0.65</v>
      </c>
      <c r="O302">
        <v>0.65</v>
      </c>
      <c r="P302">
        <v>0.32500000000000001</v>
      </c>
    </row>
    <row r="303" spans="6:16" x14ac:dyDescent="0.25">
      <c r="F303">
        <v>0.65217391304347827</v>
      </c>
      <c r="O303">
        <v>0.65217391304347827</v>
      </c>
      <c r="P303">
        <v>0.32500000000000001</v>
      </c>
    </row>
    <row r="304" spans="6:16" x14ac:dyDescent="0.25">
      <c r="F304">
        <v>0.65434782608695652</v>
      </c>
      <c r="O304">
        <v>0.65434782608695652</v>
      </c>
      <c r="P304">
        <v>0.32500000000000001</v>
      </c>
    </row>
    <row r="305" spans="6:16" x14ac:dyDescent="0.25">
      <c r="F305">
        <v>0.65652173913043477</v>
      </c>
      <c r="O305">
        <v>0.65652173913043477</v>
      </c>
      <c r="P305">
        <v>0.32500000000000001</v>
      </c>
    </row>
    <row r="306" spans="6:16" x14ac:dyDescent="0.25">
      <c r="F306">
        <v>0.65869565217391302</v>
      </c>
      <c r="O306">
        <v>0.65869565217391302</v>
      </c>
      <c r="P306">
        <v>0.32500000000000001</v>
      </c>
    </row>
    <row r="307" spans="6:16" x14ac:dyDescent="0.25">
      <c r="F307">
        <v>0.66086956521739126</v>
      </c>
      <c r="O307">
        <v>0.66086956521739126</v>
      </c>
      <c r="P307">
        <v>0.32500000000000001</v>
      </c>
    </row>
    <row r="308" spans="6:16" x14ac:dyDescent="0.25">
      <c r="F308">
        <v>0.66304347826086951</v>
      </c>
      <c r="O308">
        <v>0.66304347826086951</v>
      </c>
      <c r="P308">
        <v>0.32500000000000001</v>
      </c>
    </row>
    <row r="309" spans="6:16" x14ac:dyDescent="0.25">
      <c r="F309">
        <v>0.66521739130434787</v>
      </c>
      <c r="O309">
        <v>0.66521739130434787</v>
      </c>
      <c r="P309">
        <v>0.32500000000000001</v>
      </c>
    </row>
    <row r="310" spans="6:16" x14ac:dyDescent="0.25">
      <c r="F310">
        <v>0.66739130434782612</v>
      </c>
      <c r="O310">
        <v>0.66739130434782612</v>
      </c>
      <c r="P310">
        <v>0.32500000000000001</v>
      </c>
    </row>
    <row r="311" spans="6:16" x14ac:dyDescent="0.25">
      <c r="F311">
        <v>0.66956521739130437</v>
      </c>
      <c r="O311">
        <v>0.66956521739130437</v>
      </c>
      <c r="P311">
        <v>0.32500000000000001</v>
      </c>
    </row>
    <row r="312" spans="6:16" x14ac:dyDescent="0.25">
      <c r="F312">
        <v>0.67173913043478262</v>
      </c>
      <c r="O312">
        <v>0.67173913043478262</v>
      </c>
      <c r="P312">
        <v>0.32500000000000001</v>
      </c>
    </row>
    <row r="313" spans="6:16" x14ac:dyDescent="0.25">
      <c r="F313">
        <v>0.67391304347826086</v>
      </c>
      <c r="O313">
        <v>0.67391304347826086</v>
      </c>
      <c r="P313">
        <v>0.32500000000000001</v>
      </c>
    </row>
    <row r="314" spans="6:16" x14ac:dyDescent="0.25">
      <c r="F314">
        <v>0.67608695652173911</v>
      </c>
      <c r="O314">
        <v>0.67608695652173911</v>
      </c>
      <c r="P314">
        <v>0.32500000000000001</v>
      </c>
    </row>
    <row r="315" spans="6:16" x14ac:dyDescent="0.25">
      <c r="F315">
        <v>0.67826086956521736</v>
      </c>
      <c r="O315">
        <v>0.67826086956521736</v>
      </c>
      <c r="P315">
        <v>0.32500000000000001</v>
      </c>
    </row>
    <row r="316" spans="6:16" x14ac:dyDescent="0.25">
      <c r="F316">
        <v>0.68043478260869561</v>
      </c>
      <c r="O316">
        <v>0.68043478260869561</v>
      </c>
      <c r="P316">
        <v>0.32500000000000001</v>
      </c>
    </row>
    <row r="317" spans="6:16" x14ac:dyDescent="0.25">
      <c r="F317">
        <v>0.68260869565217386</v>
      </c>
      <c r="O317">
        <v>0.68260869565217386</v>
      </c>
      <c r="P317">
        <v>0.32500000000000001</v>
      </c>
    </row>
    <row r="318" spans="6:16" x14ac:dyDescent="0.25">
      <c r="F318">
        <v>0.68478260869565222</v>
      </c>
      <c r="O318">
        <v>0.68478260869565222</v>
      </c>
      <c r="P318">
        <v>0.32500000000000001</v>
      </c>
    </row>
    <row r="319" spans="6:16" x14ac:dyDescent="0.25">
      <c r="F319">
        <v>0.68695652173913047</v>
      </c>
      <c r="O319">
        <v>0.68695652173913047</v>
      </c>
      <c r="P319">
        <v>0.32500000000000001</v>
      </c>
    </row>
    <row r="320" spans="6:16" x14ac:dyDescent="0.25">
      <c r="F320">
        <v>0.68913043478260871</v>
      </c>
      <c r="O320">
        <v>0.68913043478260871</v>
      </c>
      <c r="P320">
        <v>0.32500000000000001</v>
      </c>
    </row>
    <row r="321" spans="6:16" x14ac:dyDescent="0.25">
      <c r="F321">
        <v>0.69130434782608696</v>
      </c>
      <c r="O321">
        <v>0.69130434782608696</v>
      </c>
      <c r="P321">
        <v>0.32500000000000001</v>
      </c>
    </row>
    <row r="322" spans="6:16" x14ac:dyDescent="0.25">
      <c r="F322">
        <v>0.69347826086956521</v>
      </c>
      <c r="O322">
        <v>0.69347826086956521</v>
      </c>
      <c r="P322">
        <v>0.32500000000000001</v>
      </c>
    </row>
    <row r="323" spans="6:16" x14ac:dyDescent="0.25">
      <c r="F323">
        <v>0.69565217391304346</v>
      </c>
      <c r="O323">
        <v>0.69565217391304346</v>
      </c>
      <c r="P323">
        <v>0.32500000000000001</v>
      </c>
    </row>
    <row r="324" spans="6:16" x14ac:dyDescent="0.25">
      <c r="F324">
        <v>0.69782608695652171</v>
      </c>
      <c r="O324">
        <v>0.69782608695652171</v>
      </c>
      <c r="P324">
        <v>0.32500000000000001</v>
      </c>
    </row>
    <row r="325" spans="6:16" x14ac:dyDescent="0.25">
      <c r="F325">
        <v>0.7</v>
      </c>
      <c r="O325">
        <v>0.7</v>
      </c>
      <c r="P325">
        <v>0.32500000000000001</v>
      </c>
    </row>
    <row r="326" spans="6:16" x14ac:dyDescent="0.25">
      <c r="F326">
        <v>0.70217391304347831</v>
      </c>
      <c r="O326">
        <v>0.70217391304347831</v>
      </c>
      <c r="P326">
        <v>0.32500000000000001</v>
      </c>
    </row>
    <row r="327" spans="6:16" x14ac:dyDescent="0.25">
      <c r="F327">
        <v>0.70434782608695656</v>
      </c>
      <c r="O327">
        <v>0.70434782608695656</v>
      </c>
      <c r="P327">
        <v>0.32500000000000001</v>
      </c>
    </row>
    <row r="328" spans="6:16" x14ac:dyDescent="0.25">
      <c r="F328">
        <v>0.70652173913043481</v>
      </c>
      <c r="O328">
        <v>0.70652173913043481</v>
      </c>
      <c r="P328">
        <v>0.32500000000000001</v>
      </c>
    </row>
    <row r="329" spans="6:16" x14ac:dyDescent="0.25">
      <c r="F329">
        <v>0.70869565217391306</v>
      </c>
      <c r="O329">
        <v>0.70869565217391306</v>
      </c>
      <c r="P329">
        <v>0.32500000000000001</v>
      </c>
    </row>
    <row r="330" spans="6:16" x14ac:dyDescent="0.25">
      <c r="F330">
        <v>0.71086956521739131</v>
      </c>
      <c r="O330">
        <v>0.71086956521739131</v>
      </c>
      <c r="P330">
        <v>0.32500000000000001</v>
      </c>
    </row>
    <row r="331" spans="6:16" x14ac:dyDescent="0.25">
      <c r="F331">
        <v>0.71304347826086956</v>
      </c>
      <c r="O331">
        <v>0.71304347826086956</v>
      </c>
      <c r="P331">
        <v>0.32500000000000001</v>
      </c>
    </row>
    <row r="332" spans="6:16" x14ac:dyDescent="0.25">
      <c r="F332">
        <v>0.7152173913043478</v>
      </c>
      <c r="O332">
        <v>0.7152173913043478</v>
      </c>
      <c r="P332">
        <v>0.32500000000000001</v>
      </c>
    </row>
    <row r="333" spans="6:16" x14ac:dyDescent="0.25">
      <c r="F333">
        <v>0.71739130434782605</v>
      </c>
      <c r="O333">
        <v>0.71739130434782605</v>
      </c>
      <c r="P333">
        <v>0.32500000000000001</v>
      </c>
    </row>
    <row r="334" spans="6:16" x14ac:dyDescent="0.25">
      <c r="F334">
        <v>0.7195652173913043</v>
      </c>
      <c r="O334">
        <v>0.7195652173913043</v>
      </c>
      <c r="P334">
        <v>0.32500000000000001</v>
      </c>
    </row>
    <row r="335" spans="6:16" x14ac:dyDescent="0.25">
      <c r="F335">
        <v>0.72173913043478266</v>
      </c>
      <c r="O335">
        <v>0.72173913043478266</v>
      </c>
      <c r="P335">
        <v>0.32500000000000001</v>
      </c>
    </row>
    <row r="336" spans="6:16" x14ac:dyDescent="0.25">
      <c r="F336">
        <v>0.72391304347826091</v>
      </c>
      <c r="O336">
        <v>0.72391304347826091</v>
      </c>
      <c r="P336">
        <v>0.32500000000000001</v>
      </c>
    </row>
    <row r="337" spans="6:16" x14ac:dyDescent="0.25">
      <c r="F337">
        <v>0.72608695652173916</v>
      </c>
      <c r="O337">
        <v>0.72608695652173916</v>
      </c>
      <c r="P337">
        <v>0.32500000000000001</v>
      </c>
    </row>
    <row r="338" spans="6:16" x14ac:dyDescent="0.25">
      <c r="F338">
        <v>0.72826086956521741</v>
      </c>
      <c r="O338">
        <v>0.72826086956521741</v>
      </c>
      <c r="P338">
        <v>0.32500000000000001</v>
      </c>
    </row>
    <row r="339" spans="6:16" x14ac:dyDescent="0.25">
      <c r="F339">
        <v>0.73043478260869565</v>
      </c>
      <c r="O339">
        <v>0.73043478260869565</v>
      </c>
      <c r="P339">
        <v>0.32500000000000001</v>
      </c>
    </row>
    <row r="340" spans="6:16" x14ac:dyDescent="0.25">
      <c r="F340">
        <v>0.7326086956521739</v>
      </c>
      <c r="O340">
        <v>0.7326086956521739</v>
      </c>
      <c r="P340">
        <v>0.32500000000000001</v>
      </c>
    </row>
    <row r="341" spans="6:16" x14ac:dyDescent="0.25">
      <c r="F341">
        <v>0.73478260869565215</v>
      </c>
      <c r="O341">
        <v>0.73478260869565215</v>
      </c>
      <c r="P341">
        <v>0.32500000000000001</v>
      </c>
    </row>
    <row r="342" spans="6:16" x14ac:dyDescent="0.25">
      <c r="F342">
        <v>0.7369565217391304</v>
      </c>
      <c r="O342">
        <v>0.7369565217391304</v>
      </c>
      <c r="P342">
        <v>0.32500000000000001</v>
      </c>
    </row>
    <row r="343" spans="6:16" x14ac:dyDescent="0.25">
      <c r="F343">
        <v>0.73913043478260865</v>
      </c>
      <c r="O343">
        <v>0.73913043478260865</v>
      </c>
      <c r="P343">
        <v>0.32500000000000001</v>
      </c>
    </row>
    <row r="344" spans="6:16" x14ac:dyDescent="0.25">
      <c r="F344">
        <v>0.74130434782608701</v>
      </c>
      <c r="O344">
        <v>0.74130434782608701</v>
      </c>
      <c r="P344">
        <v>0.32500000000000001</v>
      </c>
    </row>
    <row r="345" spans="6:16" x14ac:dyDescent="0.25">
      <c r="F345">
        <v>0.74347826086956526</v>
      </c>
      <c r="O345">
        <v>0.74347826086956526</v>
      </c>
      <c r="P345">
        <v>0.32500000000000001</v>
      </c>
    </row>
    <row r="346" spans="6:16" x14ac:dyDescent="0.25">
      <c r="F346">
        <v>0.7456521739130435</v>
      </c>
      <c r="O346">
        <v>0.7456521739130435</v>
      </c>
      <c r="P346">
        <v>0.32500000000000001</v>
      </c>
    </row>
    <row r="347" spans="6:16" x14ac:dyDescent="0.25">
      <c r="F347">
        <v>0.74782608695652175</v>
      </c>
      <c r="O347">
        <v>0.74782608695652175</v>
      </c>
      <c r="P347">
        <v>0.32500000000000001</v>
      </c>
    </row>
    <row r="348" spans="6:16" x14ac:dyDescent="0.25">
      <c r="F348">
        <v>0.75</v>
      </c>
      <c r="O348">
        <v>0.75</v>
      </c>
      <c r="P348">
        <v>0.32500000000000001</v>
      </c>
    </row>
    <row r="349" spans="6:16" x14ac:dyDescent="0.25">
      <c r="F349">
        <v>0.75217391304347825</v>
      </c>
      <c r="O349">
        <v>0.75217391304347825</v>
      </c>
      <c r="P349">
        <v>0.32500000000000001</v>
      </c>
    </row>
    <row r="350" spans="6:16" x14ac:dyDescent="0.25">
      <c r="F350">
        <v>0.7543478260869565</v>
      </c>
      <c r="O350">
        <v>0.7543478260869565</v>
      </c>
      <c r="P350">
        <v>0.32500000000000001</v>
      </c>
    </row>
    <row r="351" spans="6:16" x14ac:dyDescent="0.25">
      <c r="F351">
        <v>0.75652173913043474</v>
      </c>
      <c r="O351">
        <v>0.75652173913043474</v>
      </c>
      <c r="P351">
        <v>0.32500000000000001</v>
      </c>
    </row>
    <row r="352" spans="6:16" x14ac:dyDescent="0.25">
      <c r="F352">
        <v>0.75869565217391299</v>
      </c>
      <c r="O352">
        <v>0.75869565217391299</v>
      </c>
      <c r="P352">
        <v>0.32500000000000001</v>
      </c>
    </row>
    <row r="353" spans="6:16" x14ac:dyDescent="0.25">
      <c r="F353">
        <v>0.76086956521739135</v>
      </c>
      <c r="O353">
        <v>0.76086956521739135</v>
      </c>
      <c r="P353">
        <v>0.32500000000000001</v>
      </c>
    </row>
    <row r="354" spans="6:16" x14ac:dyDescent="0.25">
      <c r="F354">
        <v>0.7630434782608696</v>
      </c>
      <c r="O354">
        <v>0.7630434782608696</v>
      </c>
      <c r="P354">
        <v>0.32500000000000001</v>
      </c>
    </row>
    <row r="355" spans="6:16" x14ac:dyDescent="0.25">
      <c r="F355">
        <v>0.76521739130434785</v>
      </c>
      <c r="O355">
        <v>0.76521739130434785</v>
      </c>
      <c r="P355">
        <v>0.32500000000000001</v>
      </c>
    </row>
    <row r="356" spans="6:16" x14ac:dyDescent="0.25">
      <c r="F356">
        <v>0.7673913043478261</v>
      </c>
      <c r="O356">
        <v>0.7673913043478261</v>
      </c>
      <c r="P356">
        <v>0.32500000000000001</v>
      </c>
    </row>
    <row r="357" spans="6:16" x14ac:dyDescent="0.25">
      <c r="F357">
        <v>0.76956521739130435</v>
      </c>
      <c r="O357">
        <v>0.76956521739130435</v>
      </c>
      <c r="P357">
        <v>0.32500000000000001</v>
      </c>
    </row>
    <row r="358" spans="6:16" x14ac:dyDescent="0.25">
      <c r="F358">
        <v>0.77173913043478259</v>
      </c>
      <c r="O358">
        <v>0.77173913043478259</v>
      </c>
      <c r="P358">
        <v>0.32500000000000001</v>
      </c>
    </row>
    <row r="359" spans="6:16" x14ac:dyDescent="0.25">
      <c r="F359">
        <v>0.77391304347826084</v>
      </c>
      <c r="O359">
        <v>0.77391304347826084</v>
      </c>
      <c r="P359">
        <v>0.32500000000000001</v>
      </c>
    </row>
    <row r="360" spans="6:16" x14ac:dyDescent="0.25">
      <c r="F360">
        <v>0.77608695652173909</v>
      </c>
      <c r="O360">
        <v>0.77608695652173909</v>
      </c>
      <c r="P360">
        <v>0.32500000000000001</v>
      </c>
    </row>
    <row r="361" spans="6:16" x14ac:dyDescent="0.25">
      <c r="F361">
        <v>0.77826086956521734</v>
      </c>
      <c r="O361">
        <v>0.77826086956521734</v>
      </c>
      <c r="P361">
        <v>0.32500000000000001</v>
      </c>
    </row>
    <row r="362" spans="6:16" x14ac:dyDescent="0.25">
      <c r="F362">
        <v>0.7804347826086957</v>
      </c>
      <c r="O362">
        <v>0.7804347826086957</v>
      </c>
      <c r="P362">
        <v>0.32500000000000001</v>
      </c>
    </row>
    <row r="363" spans="6:16" x14ac:dyDescent="0.25">
      <c r="F363">
        <v>0.78260869565217395</v>
      </c>
      <c r="O363">
        <v>0.78260869565217395</v>
      </c>
      <c r="P363">
        <v>0.32500000000000001</v>
      </c>
    </row>
    <row r="364" spans="6:16" x14ac:dyDescent="0.25">
      <c r="F364">
        <v>0.7847826086956522</v>
      </c>
      <c r="O364">
        <v>0.7847826086956522</v>
      </c>
      <c r="P364">
        <v>0.32500000000000001</v>
      </c>
    </row>
    <row r="365" spans="6:16" x14ac:dyDescent="0.25">
      <c r="F365">
        <v>0.78695652173913044</v>
      </c>
      <c r="O365">
        <v>0.78695652173913044</v>
      </c>
      <c r="P365">
        <v>0.32500000000000001</v>
      </c>
    </row>
    <row r="366" spans="6:16" x14ac:dyDescent="0.25">
      <c r="F366">
        <v>0.78913043478260869</v>
      </c>
      <c r="O366">
        <v>0.78913043478260869</v>
      </c>
      <c r="P366">
        <v>0.32500000000000001</v>
      </c>
    </row>
    <row r="367" spans="6:16" x14ac:dyDescent="0.25">
      <c r="F367">
        <v>0.79130434782608694</v>
      </c>
      <c r="O367">
        <v>0.79130434782608694</v>
      </c>
      <c r="P367">
        <v>0.32500000000000001</v>
      </c>
    </row>
    <row r="368" spans="6:16" x14ac:dyDescent="0.25">
      <c r="F368">
        <v>0.79347826086956519</v>
      </c>
      <c r="O368">
        <v>0.79347826086956519</v>
      </c>
      <c r="P368">
        <v>0.32500000000000001</v>
      </c>
    </row>
    <row r="369" spans="6:16" x14ac:dyDescent="0.25">
      <c r="F369">
        <v>0.79565217391304344</v>
      </c>
      <c r="O369">
        <v>0.79565217391304344</v>
      </c>
      <c r="P369">
        <v>0.32500000000000001</v>
      </c>
    </row>
    <row r="370" spans="6:16" x14ac:dyDescent="0.25">
      <c r="F370">
        <v>0.79782608695652169</v>
      </c>
      <c r="O370">
        <v>0.79782608695652169</v>
      </c>
      <c r="P370">
        <v>0.32500000000000001</v>
      </c>
    </row>
    <row r="371" spans="6:16" x14ac:dyDescent="0.25">
      <c r="F371">
        <v>0.8</v>
      </c>
      <c r="O371">
        <v>0.8</v>
      </c>
      <c r="P371">
        <v>0.32500000000000001</v>
      </c>
    </row>
    <row r="372" spans="6:16" x14ac:dyDescent="0.25">
      <c r="O372">
        <v>0.80217391304347829</v>
      </c>
      <c r="P372">
        <v>0.32500000000000001</v>
      </c>
    </row>
    <row r="373" spans="6:16" x14ac:dyDescent="0.25">
      <c r="O373">
        <v>0.80434782608695654</v>
      </c>
      <c r="P373">
        <v>0.32500000000000001</v>
      </c>
    </row>
    <row r="374" spans="6:16" x14ac:dyDescent="0.25">
      <c r="O374">
        <v>0.80652173913043479</v>
      </c>
      <c r="P374">
        <v>0.32500000000000001</v>
      </c>
    </row>
    <row r="375" spans="6:16" x14ac:dyDescent="0.25">
      <c r="O375">
        <v>0.80869565217391304</v>
      </c>
      <c r="P375">
        <v>0.32500000000000001</v>
      </c>
    </row>
    <row r="376" spans="6:16" x14ac:dyDescent="0.25">
      <c r="O376">
        <v>0.81086956521739129</v>
      </c>
      <c r="P376">
        <v>0.32500000000000001</v>
      </c>
    </row>
    <row r="377" spans="6:16" x14ac:dyDescent="0.25">
      <c r="O377">
        <v>0.81304347826086953</v>
      </c>
      <c r="P377">
        <v>0.32500000000000001</v>
      </c>
    </row>
    <row r="378" spans="6:16" x14ac:dyDescent="0.25">
      <c r="O378">
        <v>0.81521739130434778</v>
      </c>
      <c r="P378">
        <v>0.32500000000000001</v>
      </c>
    </row>
    <row r="379" spans="6:16" x14ac:dyDescent="0.25">
      <c r="O379">
        <v>0.81739130434782614</v>
      </c>
      <c r="P379">
        <v>0.32500000000000001</v>
      </c>
    </row>
    <row r="380" spans="6:16" x14ac:dyDescent="0.25">
      <c r="O380">
        <v>0.81956521739130439</v>
      </c>
      <c r="P380">
        <v>0.32500000000000001</v>
      </c>
    </row>
    <row r="381" spans="6:16" x14ac:dyDescent="0.25">
      <c r="O381">
        <v>0.82173913043478264</v>
      </c>
      <c r="P381">
        <v>0.32500000000000001</v>
      </c>
    </row>
    <row r="382" spans="6:16" x14ac:dyDescent="0.25">
      <c r="O382">
        <v>0.82391304347826089</v>
      </c>
      <c r="P382">
        <v>0.32500000000000001</v>
      </c>
    </row>
    <row r="383" spans="6:16" x14ac:dyDescent="0.25">
      <c r="O383">
        <v>0.82608695652173914</v>
      </c>
      <c r="P383">
        <v>0.32500000000000001</v>
      </c>
    </row>
    <row r="384" spans="6:16" x14ac:dyDescent="0.25">
      <c r="O384">
        <v>0.82826086956521738</v>
      </c>
      <c r="P384">
        <v>0.32500000000000001</v>
      </c>
    </row>
    <row r="385" spans="15:16" x14ac:dyDescent="0.25">
      <c r="O385">
        <v>0.83043478260869563</v>
      </c>
      <c r="P385">
        <v>0.32500000000000001</v>
      </c>
    </row>
    <row r="386" spans="15:16" x14ac:dyDescent="0.25">
      <c r="O386">
        <v>0.83260869565217388</v>
      </c>
      <c r="P386">
        <v>0.32500000000000001</v>
      </c>
    </row>
    <row r="387" spans="15:16" x14ac:dyDescent="0.25">
      <c r="O387">
        <v>0.83478260869565213</v>
      </c>
      <c r="P387">
        <v>0.32500000000000001</v>
      </c>
    </row>
    <row r="388" spans="15:16" x14ac:dyDescent="0.25">
      <c r="O388">
        <v>0.83695652173913049</v>
      </c>
      <c r="P388">
        <v>0.32500000000000001</v>
      </c>
    </row>
    <row r="389" spans="15:16" x14ac:dyDescent="0.25">
      <c r="O389">
        <v>0.83913043478260874</v>
      </c>
      <c r="P389">
        <v>0.32500000000000001</v>
      </c>
    </row>
    <row r="390" spans="15:16" x14ac:dyDescent="0.25">
      <c r="O390">
        <v>0.84130434782608698</v>
      </c>
      <c r="P390">
        <v>0.32500000000000001</v>
      </c>
    </row>
    <row r="391" spans="15:16" x14ac:dyDescent="0.25">
      <c r="O391">
        <v>0.84347826086956523</v>
      </c>
      <c r="P391">
        <v>0.32500000000000001</v>
      </c>
    </row>
    <row r="392" spans="15:16" x14ac:dyDescent="0.25">
      <c r="O392">
        <v>0.84565217391304348</v>
      </c>
      <c r="P392">
        <v>0.32500000000000001</v>
      </c>
    </row>
    <row r="393" spans="15:16" x14ac:dyDescent="0.25">
      <c r="O393">
        <v>0.84782608695652173</v>
      </c>
      <c r="P393">
        <v>0.32500000000000001</v>
      </c>
    </row>
    <row r="394" spans="15:16" x14ac:dyDescent="0.25">
      <c r="O394">
        <v>0.85</v>
      </c>
      <c r="P394">
        <v>0.32500000000000001</v>
      </c>
    </row>
    <row r="395" spans="15:16" x14ac:dyDescent="0.25">
      <c r="O395">
        <v>0.85217391304347823</v>
      </c>
      <c r="P395">
        <v>0.32500000000000001</v>
      </c>
    </row>
    <row r="396" spans="15:16" x14ac:dyDescent="0.25">
      <c r="O396">
        <v>0.85434782608695647</v>
      </c>
      <c r="P396">
        <v>0.32500000000000001</v>
      </c>
    </row>
    <row r="397" spans="15:16" x14ac:dyDescent="0.25">
      <c r="O397">
        <v>0.85652173913043483</v>
      </c>
      <c r="P397">
        <v>0.32500000000000001</v>
      </c>
    </row>
    <row r="398" spans="15:16" x14ac:dyDescent="0.25">
      <c r="O398">
        <v>0.85869565217391308</v>
      </c>
      <c r="P398">
        <v>0.32500000000000001</v>
      </c>
    </row>
    <row r="399" spans="15:16" x14ac:dyDescent="0.25">
      <c r="O399">
        <v>0.86086956521739133</v>
      </c>
      <c r="P399">
        <v>0.32500000000000001</v>
      </c>
    </row>
    <row r="400" spans="15:16" x14ac:dyDescent="0.25">
      <c r="O400">
        <v>0.86304347826086958</v>
      </c>
      <c r="P400">
        <v>0.32500000000000001</v>
      </c>
    </row>
    <row r="401" spans="15:16" x14ac:dyDescent="0.25">
      <c r="O401">
        <v>0.86521739130434783</v>
      </c>
      <c r="P401">
        <v>0.32500000000000001</v>
      </c>
    </row>
    <row r="402" spans="15:16" x14ac:dyDescent="0.25">
      <c r="O402">
        <v>0.86739130434782608</v>
      </c>
      <c r="P402">
        <v>0.32500000000000001</v>
      </c>
    </row>
    <row r="403" spans="15:16" x14ac:dyDescent="0.25">
      <c r="O403">
        <v>0.86956521739130432</v>
      </c>
      <c r="P403">
        <v>0.32500000000000001</v>
      </c>
    </row>
    <row r="404" spans="15:16" x14ac:dyDescent="0.25">
      <c r="O404">
        <v>0.87173913043478257</v>
      </c>
      <c r="P404">
        <v>0.32500000000000001</v>
      </c>
    </row>
    <row r="405" spans="15:16" x14ac:dyDescent="0.25">
      <c r="O405">
        <v>0.87391304347826082</v>
      </c>
      <c r="P405">
        <v>0.32500000000000001</v>
      </c>
    </row>
    <row r="406" spans="15:16" x14ac:dyDescent="0.25">
      <c r="O406">
        <v>0.87608695652173918</v>
      </c>
      <c r="P406">
        <v>0.32500000000000001</v>
      </c>
    </row>
    <row r="407" spans="15:16" x14ac:dyDescent="0.25">
      <c r="O407">
        <v>0.87826086956521743</v>
      </c>
      <c r="P407">
        <v>0.32500000000000001</v>
      </c>
    </row>
    <row r="408" spans="15:16" x14ac:dyDescent="0.25">
      <c r="O408">
        <v>0.88043478260869568</v>
      </c>
      <c r="P408">
        <v>0.32500000000000001</v>
      </c>
    </row>
    <row r="409" spans="15:16" x14ac:dyDescent="0.25">
      <c r="O409">
        <v>0.88260869565217392</v>
      </c>
      <c r="P409">
        <v>0.32500000000000001</v>
      </c>
    </row>
    <row r="410" spans="15:16" x14ac:dyDescent="0.25">
      <c r="O410">
        <v>0.88478260869565217</v>
      </c>
      <c r="P410">
        <v>0.32500000000000001</v>
      </c>
    </row>
    <row r="411" spans="15:16" x14ac:dyDescent="0.25">
      <c r="O411">
        <v>0.88695652173913042</v>
      </c>
      <c r="P411">
        <v>0.32500000000000001</v>
      </c>
    </row>
    <row r="412" spans="15:16" x14ac:dyDescent="0.25">
      <c r="O412">
        <v>0.88913043478260867</v>
      </c>
      <c r="P412">
        <v>0.32500000000000001</v>
      </c>
    </row>
    <row r="413" spans="15:16" x14ac:dyDescent="0.25">
      <c r="O413">
        <v>0.89130434782608692</v>
      </c>
      <c r="P413">
        <v>0.32500000000000001</v>
      </c>
    </row>
    <row r="414" spans="15:16" x14ac:dyDescent="0.25">
      <c r="O414">
        <v>0.89347826086956517</v>
      </c>
      <c r="P414">
        <v>0.32500000000000001</v>
      </c>
    </row>
    <row r="415" spans="15:16" x14ac:dyDescent="0.25">
      <c r="O415">
        <v>0.89565217391304353</v>
      </c>
      <c r="P415">
        <v>0.32500000000000001</v>
      </c>
    </row>
    <row r="416" spans="15:16" x14ac:dyDescent="0.25">
      <c r="O416">
        <v>0.89782608695652177</v>
      </c>
      <c r="P416">
        <v>0.32500000000000001</v>
      </c>
    </row>
    <row r="417" spans="15:16" x14ac:dyDescent="0.25">
      <c r="O417">
        <v>0.9</v>
      </c>
      <c r="P417">
        <v>0.32500000000000001</v>
      </c>
    </row>
    <row r="418" spans="15:16" x14ac:dyDescent="0.25">
      <c r="O418">
        <v>0.90217391304347827</v>
      </c>
      <c r="P418">
        <v>0.32500000000000001</v>
      </c>
    </row>
    <row r="419" spans="15:16" x14ac:dyDescent="0.25">
      <c r="O419">
        <v>0.90434782608695652</v>
      </c>
      <c r="P419">
        <v>0.32500000000000001</v>
      </c>
    </row>
    <row r="420" spans="15:16" x14ac:dyDescent="0.25">
      <c r="O420">
        <v>0.90652173913043477</v>
      </c>
      <c r="P420">
        <v>0.32500000000000001</v>
      </c>
    </row>
    <row r="421" spans="15:16" x14ac:dyDescent="0.25">
      <c r="O421">
        <v>0.90869565217391302</v>
      </c>
      <c r="P421">
        <v>0.32500000000000001</v>
      </c>
    </row>
    <row r="422" spans="15:16" x14ac:dyDescent="0.25">
      <c r="O422">
        <v>0.91086956521739126</v>
      </c>
      <c r="P422">
        <v>0.32500000000000001</v>
      </c>
    </row>
    <row r="423" spans="15:16" x14ac:dyDescent="0.25">
      <c r="O423">
        <v>0.91304347826086951</v>
      </c>
      <c r="P423">
        <v>0.32500000000000001</v>
      </c>
    </row>
    <row r="424" spans="15:16" x14ac:dyDescent="0.25">
      <c r="O424">
        <v>0.91521739130434787</v>
      </c>
      <c r="P424">
        <v>0.32500000000000001</v>
      </c>
    </row>
    <row r="425" spans="15:16" x14ac:dyDescent="0.25">
      <c r="O425">
        <v>0.91739130434782612</v>
      </c>
      <c r="P425">
        <v>0.32500000000000001</v>
      </c>
    </row>
    <row r="426" spans="15:16" x14ac:dyDescent="0.25">
      <c r="O426">
        <v>0.91956521739130437</v>
      </c>
      <c r="P426">
        <v>0.32500000000000001</v>
      </c>
    </row>
    <row r="427" spans="15:16" x14ac:dyDescent="0.25">
      <c r="O427">
        <v>0.92173913043478262</v>
      </c>
      <c r="P427">
        <v>0.32500000000000001</v>
      </c>
    </row>
    <row r="428" spans="15:16" x14ac:dyDescent="0.25">
      <c r="O428">
        <v>0.92391304347826086</v>
      </c>
      <c r="P428">
        <v>0.32500000000000001</v>
      </c>
    </row>
    <row r="429" spans="15:16" x14ac:dyDescent="0.25">
      <c r="O429">
        <v>0.92608695652173911</v>
      </c>
      <c r="P429">
        <v>0.32500000000000001</v>
      </c>
    </row>
    <row r="430" spans="15:16" x14ac:dyDescent="0.25">
      <c r="O430">
        <v>0.92826086956521736</v>
      </c>
      <c r="P430">
        <v>0.32500000000000001</v>
      </c>
    </row>
    <row r="431" spans="15:16" x14ac:dyDescent="0.25">
      <c r="O431">
        <v>0.93043478260869561</v>
      </c>
      <c r="P431">
        <v>0.32500000000000001</v>
      </c>
    </row>
    <row r="432" spans="15:16" x14ac:dyDescent="0.25">
      <c r="O432">
        <v>0.93260869565217386</v>
      </c>
      <c r="P432">
        <v>0.32500000000000001</v>
      </c>
    </row>
    <row r="433" spans="15:16" x14ac:dyDescent="0.25">
      <c r="O433">
        <v>0.93478260869565222</v>
      </c>
      <c r="P433">
        <v>0.32500000000000001</v>
      </c>
    </row>
    <row r="434" spans="15:16" x14ac:dyDescent="0.25">
      <c r="O434">
        <v>0.93695652173913047</v>
      </c>
      <c r="P434">
        <v>0.32500000000000001</v>
      </c>
    </row>
    <row r="435" spans="15:16" x14ac:dyDescent="0.25">
      <c r="O435">
        <v>0.93913043478260871</v>
      </c>
      <c r="P435">
        <v>0.32500000000000001</v>
      </c>
    </row>
    <row r="436" spans="15:16" x14ac:dyDescent="0.25">
      <c r="O436">
        <v>0.94130434782608696</v>
      </c>
      <c r="P436">
        <v>0.32500000000000001</v>
      </c>
    </row>
    <row r="437" spans="15:16" x14ac:dyDescent="0.25">
      <c r="O437">
        <v>0.94347826086956521</v>
      </c>
      <c r="P437">
        <v>0.32500000000000001</v>
      </c>
    </row>
    <row r="438" spans="15:16" x14ac:dyDescent="0.25">
      <c r="O438">
        <v>0.94565217391304346</v>
      </c>
      <c r="P438">
        <v>0.32500000000000001</v>
      </c>
    </row>
    <row r="439" spans="15:16" x14ac:dyDescent="0.25">
      <c r="O439">
        <v>0.94782608695652171</v>
      </c>
      <c r="P439">
        <v>0.32500000000000001</v>
      </c>
    </row>
    <row r="440" spans="15:16" x14ac:dyDescent="0.25">
      <c r="O440">
        <v>0.95</v>
      </c>
      <c r="P440">
        <v>0.32500000000000001</v>
      </c>
    </row>
    <row r="441" spans="15:16" x14ac:dyDescent="0.25">
      <c r="O441">
        <v>0.95217391304347831</v>
      </c>
      <c r="P441">
        <v>0.32500000000000001</v>
      </c>
    </row>
    <row r="442" spans="15:16" x14ac:dyDescent="0.25">
      <c r="O442">
        <v>0.95434782608695656</v>
      </c>
      <c r="P442">
        <v>0.32500000000000001</v>
      </c>
    </row>
    <row r="443" spans="15:16" x14ac:dyDescent="0.25">
      <c r="O443">
        <v>0.95652173913043481</v>
      </c>
      <c r="P443">
        <v>0.32500000000000001</v>
      </c>
    </row>
    <row r="444" spans="15:16" x14ac:dyDescent="0.25">
      <c r="O444">
        <v>0.95869565217391306</v>
      </c>
      <c r="P444">
        <v>0.32500000000000001</v>
      </c>
    </row>
    <row r="445" spans="15:16" x14ac:dyDescent="0.25">
      <c r="O445">
        <v>0.96086956521739131</v>
      </c>
      <c r="P445">
        <v>0.32500000000000001</v>
      </c>
    </row>
    <row r="446" spans="15:16" x14ac:dyDescent="0.25">
      <c r="O446">
        <v>0.96304347826086956</v>
      </c>
      <c r="P446">
        <v>0.32500000000000001</v>
      </c>
    </row>
    <row r="447" spans="15:16" x14ac:dyDescent="0.25">
      <c r="O447">
        <v>0.9652173913043478</v>
      </c>
      <c r="P447">
        <v>0.32500000000000001</v>
      </c>
    </row>
    <row r="448" spans="15:16" x14ac:dyDescent="0.25">
      <c r="O448">
        <v>0.96739130434782605</v>
      </c>
      <c r="P448">
        <v>0.32500000000000001</v>
      </c>
    </row>
    <row r="449" spans="15:16" x14ac:dyDescent="0.25">
      <c r="O449">
        <v>0.9695652173913043</v>
      </c>
      <c r="P449">
        <v>0.32500000000000001</v>
      </c>
    </row>
    <row r="450" spans="15:16" x14ac:dyDescent="0.25">
      <c r="O450">
        <v>0.97173913043478266</v>
      </c>
      <c r="P450">
        <v>0.32500000000000001</v>
      </c>
    </row>
    <row r="451" spans="15:16" x14ac:dyDescent="0.25">
      <c r="O451">
        <v>0.97391304347826091</v>
      </c>
      <c r="P451">
        <v>0.32500000000000001</v>
      </c>
    </row>
    <row r="452" spans="15:16" x14ac:dyDescent="0.25">
      <c r="O452">
        <v>0.97608695652173916</v>
      </c>
      <c r="P452">
        <v>0.32500000000000001</v>
      </c>
    </row>
    <row r="453" spans="15:16" x14ac:dyDescent="0.25">
      <c r="O453">
        <v>0.97826086956521741</v>
      </c>
      <c r="P453">
        <v>0.32500000000000001</v>
      </c>
    </row>
    <row r="454" spans="15:16" x14ac:dyDescent="0.25">
      <c r="O454">
        <v>0.98043478260869565</v>
      </c>
      <c r="P454">
        <v>0.32500000000000001</v>
      </c>
    </row>
    <row r="455" spans="15:16" x14ac:dyDescent="0.25">
      <c r="O455">
        <v>0.9826086956521739</v>
      </c>
      <c r="P455">
        <v>0.32500000000000001</v>
      </c>
    </row>
    <row r="456" spans="15:16" x14ac:dyDescent="0.25">
      <c r="O456">
        <v>0.98478260869565215</v>
      </c>
      <c r="P456">
        <v>0.32500000000000001</v>
      </c>
    </row>
    <row r="457" spans="15:16" x14ac:dyDescent="0.25">
      <c r="O457">
        <v>0.9869565217391304</v>
      </c>
      <c r="P457">
        <v>0.32500000000000001</v>
      </c>
    </row>
    <row r="458" spans="15:16" x14ac:dyDescent="0.25">
      <c r="O458">
        <v>0.98913043478260865</v>
      </c>
      <c r="P458">
        <v>0.32500000000000001</v>
      </c>
    </row>
    <row r="459" spans="15:16" x14ac:dyDescent="0.25">
      <c r="O459">
        <v>0.99130434782608701</v>
      </c>
      <c r="P459">
        <v>0.32500000000000001</v>
      </c>
    </row>
    <row r="460" spans="15:16" x14ac:dyDescent="0.25">
      <c r="O460">
        <v>0.99347826086956526</v>
      </c>
      <c r="P460">
        <v>0.32500000000000001</v>
      </c>
    </row>
    <row r="461" spans="15:16" x14ac:dyDescent="0.25">
      <c r="O461">
        <v>0.9956521739130435</v>
      </c>
      <c r="P461">
        <v>0.32500000000000001</v>
      </c>
    </row>
    <row r="462" spans="15:16" x14ac:dyDescent="0.25">
      <c r="O462">
        <v>0.99782608695652175</v>
      </c>
      <c r="P462">
        <v>0.32500000000000001</v>
      </c>
    </row>
    <row r="463" spans="15:16" x14ac:dyDescent="0.25">
      <c r="O463">
        <v>1</v>
      </c>
      <c r="P463">
        <v>0.32500000000000001</v>
      </c>
    </row>
    <row r="464" spans="15:16" x14ac:dyDescent="0.25">
      <c r="O464">
        <v>1.0021739130434784</v>
      </c>
      <c r="P464">
        <v>0.32500000000000001</v>
      </c>
    </row>
    <row r="465" spans="15:16" x14ac:dyDescent="0.25">
      <c r="O465">
        <v>1.0043478260869565</v>
      </c>
      <c r="P465">
        <v>0.32500000000000001</v>
      </c>
    </row>
    <row r="466" spans="15:16" x14ac:dyDescent="0.25">
      <c r="O466">
        <v>1.0065217391304349</v>
      </c>
      <c r="P466">
        <v>0.32500000000000001</v>
      </c>
    </row>
    <row r="467" spans="15:16" x14ac:dyDescent="0.25">
      <c r="O467">
        <v>1.008695652173913</v>
      </c>
      <c r="P467">
        <v>0.32500000000000001</v>
      </c>
    </row>
    <row r="468" spans="15:16" x14ac:dyDescent="0.25">
      <c r="O468">
        <v>1.0108695652173914</v>
      </c>
      <c r="P468">
        <v>0.32500000000000001</v>
      </c>
    </row>
    <row r="469" spans="15:16" x14ac:dyDescent="0.25">
      <c r="O469">
        <v>1.0130434782608695</v>
      </c>
      <c r="P469">
        <v>0.32500000000000001</v>
      </c>
    </row>
    <row r="470" spans="15:16" x14ac:dyDescent="0.25">
      <c r="O470">
        <v>1.0152173913043478</v>
      </c>
      <c r="P470">
        <v>0.32500000000000001</v>
      </c>
    </row>
    <row r="471" spans="15:16" x14ac:dyDescent="0.25">
      <c r="O471">
        <v>1.017391304347826</v>
      </c>
      <c r="P471">
        <v>0.32500000000000001</v>
      </c>
    </row>
    <row r="472" spans="15:16" x14ac:dyDescent="0.25">
      <c r="O472">
        <v>1.0195652173913043</v>
      </c>
      <c r="P472">
        <v>0.32500000000000001</v>
      </c>
    </row>
    <row r="473" spans="15:16" x14ac:dyDescent="0.25">
      <c r="O473">
        <v>1.0217391304347827</v>
      </c>
      <c r="P473">
        <v>0.32500000000000001</v>
      </c>
    </row>
    <row r="474" spans="15:16" x14ac:dyDescent="0.25">
      <c r="O474">
        <v>1.0239130434782608</v>
      </c>
      <c r="P474">
        <v>0.32500000000000001</v>
      </c>
    </row>
    <row r="475" spans="15:16" x14ac:dyDescent="0.25">
      <c r="O475">
        <v>1.0260869565217392</v>
      </c>
      <c r="P475">
        <v>0.32500000000000001</v>
      </c>
    </row>
    <row r="476" spans="15:16" x14ac:dyDescent="0.25">
      <c r="O476">
        <v>1.0282608695652173</v>
      </c>
      <c r="P476">
        <v>0.32500000000000001</v>
      </c>
    </row>
    <row r="477" spans="15:16" x14ac:dyDescent="0.25">
      <c r="O477">
        <v>1.0304347826086957</v>
      </c>
      <c r="P477">
        <v>0.32500000000000001</v>
      </c>
    </row>
    <row r="478" spans="15:16" x14ac:dyDescent="0.25">
      <c r="O478">
        <v>1.0326086956521738</v>
      </c>
      <c r="P478">
        <v>0.32500000000000001</v>
      </c>
    </row>
    <row r="479" spans="15:16" x14ac:dyDescent="0.25">
      <c r="O479">
        <v>1.0347826086956522</v>
      </c>
      <c r="P479">
        <v>0.32500000000000001</v>
      </c>
    </row>
    <row r="480" spans="15:16" x14ac:dyDescent="0.25">
      <c r="O480">
        <v>1.0369565217391303</v>
      </c>
      <c r="P480">
        <v>0.32500000000000001</v>
      </c>
    </row>
    <row r="481" spans="15:16" x14ac:dyDescent="0.25">
      <c r="O481">
        <v>1.0391304347826087</v>
      </c>
      <c r="P481">
        <v>0.32500000000000001</v>
      </c>
    </row>
    <row r="482" spans="15:16" x14ac:dyDescent="0.25">
      <c r="O482">
        <v>1.0413043478260871</v>
      </c>
      <c r="P482">
        <v>0.32500000000000001</v>
      </c>
    </row>
    <row r="483" spans="15:16" x14ac:dyDescent="0.25">
      <c r="O483">
        <v>1.0434782608695652</v>
      </c>
      <c r="P483">
        <v>0.32500000000000001</v>
      </c>
    </row>
    <row r="484" spans="15:16" x14ac:dyDescent="0.25">
      <c r="O484">
        <v>1.0456521739130435</v>
      </c>
      <c r="P484">
        <v>0.32500000000000001</v>
      </c>
    </row>
    <row r="485" spans="15:16" x14ac:dyDescent="0.25">
      <c r="O485">
        <v>1.0478260869565217</v>
      </c>
      <c r="P485">
        <v>0.32500000000000001</v>
      </c>
    </row>
    <row r="486" spans="15:16" x14ac:dyDescent="0.25">
      <c r="O486">
        <v>1.05</v>
      </c>
      <c r="P486">
        <v>0.32500000000000001</v>
      </c>
    </row>
    <row r="487" spans="15:16" x14ac:dyDescent="0.25">
      <c r="O487">
        <v>1.0521739130434782</v>
      </c>
      <c r="P487">
        <v>0.32500000000000001</v>
      </c>
    </row>
    <row r="488" spans="15:16" x14ac:dyDescent="0.25">
      <c r="O488">
        <v>1.0543478260869565</v>
      </c>
      <c r="P488">
        <v>0.32500000000000001</v>
      </c>
    </row>
    <row r="489" spans="15:16" x14ac:dyDescent="0.25">
      <c r="O489">
        <v>1.0565217391304347</v>
      </c>
      <c r="P489">
        <v>0.32500000000000001</v>
      </c>
    </row>
    <row r="490" spans="15:16" x14ac:dyDescent="0.25">
      <c r="O490">
        <v>1.058695652173913</v>
      </c>
      <c r="P490">
        <v>0.32500000000000001</v>
      </c>
    </row>
    <row r="491" spans="15:16" x14ac:dyDescent="0.25">
      <c r="O491">
        <v>1.0608695652173914</v>
      </c>
      <c r="P491">
        <v>0.32500000000000001</v>
      </c>
    </row>
    <row r="492" spans="15:16" x14ac:dyDescent="0.25">
      <c r="O492">
        <v>1.0630434782608695</v>
      </c>
      <c r="P492">
        <v>0.32500000000000001</v>
      </c>
    </row>
    <row r="493" spans="15:16" x14ac:dyDescent="0.25">
      <c r="O493">
        <v>1.0652173913043479</v>
      </c>
      <c r="P493">
        <v>0.32500000000000001</v>
      </c>
    </row>
    <row r="494" spans="15:16" x14ac:dyDescent="0.25">
      <c r="O494">
        <v>1.067391304347826</v>
      </c>
      <c r="P494">
        <v>0.32500000000000001</v>
      </c>
    </row>
    <row r="495" spans="15:16" x14ac:dyDescent="0.25">
      <c r="O495">
        <v>1.0695652173913044</v>
      </c>
      <c r="P495">
        <v>0.32500000000000001</v>
      </c>
    </row>
    <row r="496" spans="15:16" x14ac:dyDescent="0.25">
      <c r="O496">
        <v>1.0717391304347825</v>
      </c>
      <c r="P496">
        <v>0.32500000000000001</v>
      </c>
    </row>
    <row r="497" spans="15:16" x14ac:dyDescent="0.25">
      <c r="O497">
        <v>1.0739130434782609</v>
      </c>
      <c r="P497">
        <v>0.32500000000000001</v>
      </c>
    </row>
    <row r="498" spans="15:16" x14ac:dyDescent="0.25">
      <c r="O498">
        <v>1.076086956521739</v>
      </c>
      <c r="P498">
        <v>0.32500000000000001</v>
      </c>
    </row>
    <row r="499" spans="15:16" x14ac:dyDescent="0.25">
      <c r="O499">
        <v>1.0782608695652174</v>
      </c>
      <c r="P499">
        <v>0.32500000000000001</v>
      </c>
    </row>
    <row r="500" spans="15:16" x14ac:dyDescent="0.25">
      <c r="O500">
        <v>1.0804347826086957</v>
      </c>
      <c r="P500">
        <v>0.32500000000000001</v>
      </c>
    </row>
    <row r="501" spans="15:16" x14ac:dyDescent="0.25">
      <c r="O501">
        <v>1.0826086956521739</v>
      </c>
      <c r="P501">
        <v>0.32500000000000001</v>
      </c>
    </row>
    <row r="502" spans="15:16" x14ac:dyDescent="0.25">
      <c r="O502">
        <v>1.0847826086956522</v>
      </c>
      <c r="P502">
        <v>0.32500000000000001</v>
      </c>
    </row>
    <row r="503" spans="15:16" x14ac:dyDescent="0.25">
      <c r="O503">
        <v>1.0869565217391304</v>
      </c>
      <c r="P503">
        <v>0.32500000000000001</v>
      </c>
    </row>
    <row r="504" spans="15:16" x14ac:dyDescent="0.25">
      <c r="O504">
        <v>1.0891304347826087</v>
      </c>
      <c r="P504">
        <v>0.32500000000000001</v>
      </c>
    </row>
    <row r="505" spans="15:16" x14ac:dyDescent="0.25">
      <c r="O505">
        <v>1.0913043478260869</v>
      </c>
      <c r="P505">
        <v>0.32500000000000001</v>
      </c>
    </row>
    <row r="506" spans="15:16" x14ac:dyDescent="0.25">
      <c r="O506">
        <v>1.0934782608695652</v>
      </c>
      <c r="P506">
        <v>0.32500000000000001</v>
      </c>
    </row>
    <row r="507" spans="15:16" x14ac:dyDescent="0.25">
      <c r="O507">
        <v>1.0956521739130434</v>
      </c>
      <c r="P507">
        <v>0.32500000000000001</v>
      </c>
    </row>
    <row r="508" spans="15:16" x14ac:dyDescent="0.25">
      <c r="O508">
        <v>1.0978260869565217</v>
      </c>
      <c r="P508">
        <v>0.32500000000000001</v>
      </c>
    </row>
    <row r="509" spans="15:16" x14ac:dyDescent="0.25">
      <c r="O509">
        <v>1.1000000000000001</v>
      </c>
      <c r="P509">
        <v>0.32500000000000001</v>
      </c>
    </row>
    <row r="510" spans="15:16" x14ac:dyDescent="0.25">
      <c r="O510">
        <v>1.1021739130434782</v>
      </c>
      <c r="P510">
        <v>0.32500000000000001</v>
      </c>
    </row>
    <row r="511" spans="15:16" x14ac:dyDescent="0.25">
      <c r="O511">
        <v>1.1043478260869566</v>
      </c>
      <c r="P511">
        <v>0.32500000000000001</v>
      </c>
    </row>
    <row r="512" spans="15:16" x14ac:dyDescent="0.25">
      <c r="O512">
        <v>1.1065217391304347</v>
      </c>
      <c r="P512">
        <v>0.32500000000000001</v>
      </c>
    </row>
    <row r="513" spans="15:16" x14ac:dyDescent="0.25">
      <c r="O513">
        <v>1.1086956521739131</v>
      </c>
      <c r="P513">
        <v>0.32500000000000001</v>
      </c>
    </row>
    <row r="514" spans="15:16" x14ac:dyDescent="0.25">
      <c r="O514">
        <v>1.1108695652173912</v>
      </c>
      <c r="P514">
        <v>0.32500000000000001</v>
      </c>
    </row>
    <row r="515" spans="15:16" x14ac:dyDescent="0.25">
      <c r="O515">
        <v>1.1130434782608696</v>
      </c>
      <c r="P515">
        <v>0.32500000000000001</v>
      </c>
    </row>
    <row r="516" spans="15:16" x14ac:dyDescent="0.25">
      <c r="O516">
        <v>1.1152173913043477</v>
      </c>
      <c r="P516">
        <v>0.32500000000000001</v>
      </c>
    </row>
    <row r="517" spans="15:16" x14ac:dyDescent="0.25">
      <c r="O517">
        <v>1.1173913043478261</v>
      </c>
      <c r="P517">
        <v>0.32500000000000001</v>
      </c>
    </row>
    <row r="518" spans="15:16" x14ac:dyDescent="0.25">
      <c r="O518">
        <v>1.1195652173913044</v>
      </c>
      <c r="P518">
        <v>0.32500000000000001</v>
      </c>
    </row>
    <row r="519" spans="15:16" x14ac:dyDescent="0.25">
      <c r="O519">
        <v>1.1217391304347826</v>
      </c>
      <c r="P519">
        <v>0.32500000000000001</v>
      </c>
    </row>
    <row r="520" spans="15:16" x14ac:dyDescent="0.25">
      <c r="O520">
        <v>1.1239130434782609</v>
      </c>
      <c r="P520">
        <v>0.32500000000000001</v>
      </c>
    </row>
    <row r="521" spans="15:16" x14ac:dyDescent="0.25">
      <c r="O521">
        <v>1.1260869565217391</v>
      </c>
      <c r="P521">
        <v>0.32500000000000001</v>
      </c>
    </row>
    <row r="522" spans="15:16" x14ac:dyDescent="0.25">
      <c r="O522">
        <v>1.1282608695652174</v>
      </c>
      <c r="P522">
        <v>0.32500000000000001</v>
      </c>
    </row>
    <row r="523" spans="15:16" x14ac:dyDescent="0.25">
      <c r="O523">
        <v>1.1304347826086956</v>
      </c>
      <c r="P523">
        <v>0.32500000000000001</v>
      </c>
    </row>
    <row r="524" spans="15:16" x14ac:dyDescent="0.25">
      <c r="O524">
        <v>1.1326086956521739</v>
      </c>
      <c r="P524">
        <v>0.32500000000000001</v>
      </c>
    </row>
    <row r="525" spans="15:16" x14ac:dyDescent="0.25">
      <c r="O525">
        <v>1.1347826086956523</v>
      </c>
      <c r="P525">
        <v>0.32500000000000001</v>
      </c>
    </row>
    <row r="526" spans="15:16" x14ac:dyDescent="0.25">
      <c r="O526">
        <v>1.1369565217391304</v>
      </c>
      <c r="P526">
        <v>0.32500000000000001</v>
      </c>
    </row>
    <row r="527" spans="15:16" x14ac:dyDescent="0.25">
      <c r="O527">
        <v>1.1391304347826088</v>
      </c>
      <c r="P527">
        <v>0.32500000000000001</v>
      </c>
    </row>
    <row r="528" spans="15:16" x14ac:dyDescent="0.25">
      <c r="O528">
        <v>1.1413043478260869</v>
      </c>
      <c r="P528">
        <v>0.32500000000000001</v>
      </c>
    </row>
    <row r="529" spans="15:16" x14ac:dyDescent="0.25">
      <c r="O529">
        <v>1.1434782608695653</v>
      </c>
      <c r="P529">
        <v>0.32500000000000001</v>
      </c>
    </row>
    <row r="530" spans="15:16" x14ac:dyDescent="0.25">
      <c r="O530">
        <v>1.1456521739130434</v>
      </c>
      <c r="P530">
        <v>0.32500000000000001</v>
      </c>
    </row>
    <row r="531" spans="15:16" x14ac:dyDescent="0.25">
      <c r="O531">
        <v>1.1478260869565218</v>
      </c>
      <c r="P531">
        <v>0.32500000000000001</v>
      </c>
    </row>
    <row r="532" spans="15:16" x14ac:dyDescent="0.25">
      <c r="O532">
        <v>1.1499999999999999</v>
      </c>
      <c r="P532">
        <v>0.32500000000000001</v>
      </c>
    </row>
    <row r="533" spans="15:16" x14ac:dyDescent="0.25">
      <c r="O533">
        <v>1.1521739130434783</v>
      </c>
      <c r="P533">
        <v>0.32500000000000001</v>
      </c>
    </row>
    <row r="534" spans="15:16" x14ac:dyDescent="0.25">
      <c r="O534">
        <v>1.1543478260869566</v>
      </c>
      <c r="P534">
        <v>0.32500000000000001</v>
      </c>
    </row>
    <row r="535" spans="15:16" x14ac:dyDescent="0.25">
      <c r="O535">
        <v>1.1565217391304348</v>
      </c>
      <c r="P535">
        <v>0.32500000000000001</v>
      </c>
    </row>
    <row r="536" spans="15:16" x14ac:dyDescent="0.25">
      <c r="O536">
        <v>1.1586956521739131</v>
      </c>
      <c r="P536">
        <v>0.32500000000000001</v>
      </c>
    </row>
    <row r="537" spans="15:16" x14ac:dyDescent="0.25">
      <c r="O537">
        <v>1.1608695652173913</v>
      </c>
      <c r="P537">
        <v>0.32500000000000001</v>
      </c>
    </row>
    <row r="538" spans="15:16" x14ac:dyDescent="0.25">
      <c r="O538">
        <v>1.1630434782608696</v>
      </c>
      <c r="P538">
        <v>0.32500000000000001</v>
      </c>
    </row>
    <row r="539" spans="15:16" x14ac:dyDescent="0.25">
      <c r="O539">
        <v>1.1652173913043478</v>
      </c>
      <c r="P539">
        <v>0.32500000000000001</v>
      </c>
    </row>
    <row r="540" spans="15:16" x14ac:dyDescent="0.25">
      <c r="O540">
        <v>1.1673913043478261</v>
      </c>
      <c r="P540">
        <v>0.32500000000000001</v>
      </c>
    </row>
    <row r="541" spans="15:16" x14ac:dyDescent="0.25">
      <c r="O541">
        <v>1.1695652173913043</v>
      </c>
      <c r="P541">
        <v>0.32500000000000001</v>
      </c>
    </row>
    <row r="542" spans="15:16" x14ac:dyDescent="0.25">
      <c r="O542">
        <v>1.1717391304347826</v>
      </c>
      <c r="P542">
        <v>0.32500000000000001</v>
      </c>
    </row>
    <row r="543" spans="15:16" x14ac:dyDescent="0.25">
      <c r="O543">
        <v>1.173913043478261</v>
      </c>
      <c r="P543">
        <v>0.32500000000000001</v>
      </c>
    </row>
    <row r="544" spans="15:16" x14ac:dyDescent="0.25">
      <c r="O544">
        <v>1.1760869565217391</v>
      </c>
      <c r="P544">
        <v>0.32500000000000001</v>
      </c>
    </row>
    <row r="545" spans="15:16" x14ac:dyDescent="0.25">
      <c r="O545">
        <v>1.1782608695652175</v>
      </c>
      <c r="P545">
        <v>0.32500000000000001</v>
      </c>
    </row>
    <row r="546" spans="15:16" x14ac:dyDescent="0.25">
      <c r="O546">
        <v>1.1804347826086956</v>
      </c>
      <c r="P546">
        <v>0.32500000000000001</v>
      </c>
    </row>
    <row r="547" spans="15:16" x14ac:dyDescent="0.25">
      <c r="O547">
        <v>1.182608695652174</v>
      </c>
      <c r="P547">
        <v>0.32500000000000001</v>
      </c>
    </row>
    <row r="548" spans="15:16" x14ac:dyDescent="0.25">
      <c r="O548">
        <v>1.1847826086956521</v>
      </c>
      <c r="P548">
        <v>0.32500000000000001</v>
      </c>
    </row>
    <row r="549" spans="15:16" x14ac:dyDescent="0.25">
      <c r="O549">
        <v>1.1869565217391305</v>
      </c>
      <c r="P549">
        <v>0.32500000000000001</v>
      </c>
    </row>
    <row r="550" spans="15:16" x14ac:dyDescent="0.25">
      <c r="O550">
        <v>1.1891304347826086</v>
      </c>
      <c r="P550">
        <v>0.32500000000000001</v>
      </c>
    </row>
    <row r="551" spans="15:16" x14ac:dyDescent="0.25">
      <c r="O551">
        <v>1.191304347826087</v>
      </c>
      <c r="P551">
        <v>0.32500000000000001</v>
      </c>
    </row>
    <row r="552" spans="15:16" x14ac:dyDescent="0.25">
      <c r="O552">
        <v>1.1934782608695653</v>
      </c>
      <c r="P552">
        <v>0.32500000000000001</v>
      </c>
    </row>
    <row r="553" spans="15:16" x14ac:dyDescent="0.25">
      <c r="O553">
        <v>1.1956521739130435</v>
      </c>
      <c r="P553">
        <v>0.32500000000000001</v>
      </c>
    </row>
    <row r="554" spans="15:16" x14ac:dyDescent="0.25">
      <c r="O554">
        <v>1.1978260869565218</v>
      </c>
      <c r="P554">
        <v>0.32500000000000001</v>
      </c>
    </row>
    <row r="555" spans="15:16" x14ac:dyDescent="0.25">
      <c r="O555">
        <v>1.2</v>
      </c>
      <c r="P555">
        <v>0.32500000000000001</v>
      </c>
    </row>
    <row r="556" spans="15:16" x14ac:dyDescent="0.25">
      <c r="O556">
        <v>1.2021739130434783</v>
      </c>
      <c r="P556">
        <v>0.32500000000000001</v>
      </c>
    </row>
    <row r="557" spans="15:16" x14ac:dyDescent="0.25">
      <c r="O557">
        <v>1.2043478260869565</v>
      </c>
      <c r="P557">
        <v>0.32500000000000001</v>
      </c>
    </row>
    <row r="558" spans="15:16" x14ac:dyDescent="0.25">
      <c r="O558">
        <v>1.2065217391304348</v>
      </c>
      <c r="P558">
        <v>0.32500000000000001</v>
      </c>
    </row>
    <row r="559" spans="15:16" x14ac:dyDescent="0.25">
      <c r="O559">
        <v>1.2086956521739129</v>
      </c>
      <c r="P559">
        <v>0.32500000000000001</v>
      </c>
    </row>
    <row r="560" spans="15:16" x14ac:dyDescent="0.25">
      <c r="O560">
        <v>1.2108695652173913</v>
      </c>
      <c r="P560">
        <v>0.32500000000000001</v>
      </c>
    </row>
    <row r="561" spans="15:16" x14ac:dyDescent="0.25">
      <c r="O561">
        <v>1.2130434782608697</v>
      </c>
      <c r="P561">
        <v>0.32500000000000001</v>
      </c>
    </row>
    <row r="562" spans="15:16" x14ac:dyDescent="0.25">
      <c r="O562">
        <v>1.2152173913043478</v>
      </c>
      <c r="P562">
        <v>0.32500000000000001</v>
      </c>
    </row>
    <row r="563" spans="15:16" x14ac:dyDescent="0.25">
      <c r="O563">
        <v>1.2173913043478262</v>
      </c>
      <c r="P563">
        <v>0.32500000000000001</v>
      </c>
    </row>
    <row r="564" spans="15:16" x14ac:dyDescent="0.25">
      <c r="O564">
        <v>1.2195652173913043</v>
      </c>
      <c r="P564">
        <v>0.32500000000000001</v>
      </c>
    </row>
    <row r="565" spans="15:16" x14ac:dyDescent="0.25">
      <c r="O565">
        <v>1.2217391304347827</v>
      </c>
      <c r="P565">
        <v>0.32500000000000001</v>
      </c>
    </row>
    <row r="566" spans="15:16" x14ac:dyDescent="0.25">
      <c r="O566">
        <v>1.2239130434782608</v>
      </c>
      <c r="P566">
        <v>0.32500000000000001</v>
      </c>
    </row>
    <row r="567" spans="15:16" x14ac:dyDescent="0.25">
      <c r="O567">
        <v>1.2260869565217392</v>
      </c>
      <c r="P567">
        <v>0.32500000000000001</v>
      </c>
    </row>
    <row r="568" spans="15:16" x14ac:dyDescent="0.25">
      <c r="O568">
        <v>1.2282608695652173</v>
      </c>
      <c r="P568">
        <v>0.32500000000000001</v>
      </c>
    </row>
    <row r="569" spans="15:16" x14ac:dyDescent="0.25">
      <c r="O569">
        <v>1.2304347826086957</v>
      </c>
      <c r="P569">
        <v>0.32500000000000001</v>
      </c>
    </row>
    <row r="570" spans="15:16" x14ac:dyDescent="0.25">
      <c r="O570">
        <v>1.232608695652174</v>
      </c>
      <c r="P570">
        <v>0.32500000000000001</v>
      </c>
    </row>
    <row r="571" spans="15:16" x14ac:dyDescent="0.25">
      <c r="O571">
        <v>1.2347826086956522</v>
      </c>
      <c r="P571">
        <v>0.32500000000000001</v>
      </c>
    </row>
    <row r="572" spans="15:16" x14ac:dyDescent="0.25">
      <c r="O572">
        <v>1.2369565217391305</v>
      </c>
      <c r="P572">
        <v>0.32500000000000001</v>
      </c>
    </row>
    <row r="573" spans="15:16" x14ac:dyDescent="0.25">
      <c r="O573">
        <v>1.2391304347826086</v>
      </c>
      <c r="P573">
        <v>0.32500000000000001</v>
      </c>
    </row>
    <row r="574" spans="15:16" x14ac:dyDescent="0.25">
      <c r="O574">
        <v>1.241304347826087</v>
      </c>
      <c r="P574">
        <v>0.32500000000000001</v>
      </c>
    </row>
    <row r="575" spans="15:16" x14ac:dyDescent="0.25">
      <c r="O575">
        <v>1.2434782608695651</v>
      </c>
      <c r="P575">
        <v>0.32500000000000001</v>
      </c>
    </row>
    <row r="576" spans="15:16" x14ac:dyDescent="0.25">
      <c r="O576">
        <v>1.2456521739130435</v>
      </c>
      <c r="P576">
        <v>0.32500000000000001</v>
      </c>
    </row>
    <row r="577" spans="15:16" x14ac:dyDescent="0.25">
      <c r="O577">
        <v>1.2478260869565216</v>
      </c>
      <c r="P577">
        <v>0.32500000000000001</v>
      </c>
    </row>
    <row r="578" spans="15:16" x14ac:dyDescent="0.25">
      <c r="O578">
        <v>1.25</v>
      </c>
      <c r="P578">
        <v>0.32500000000000001</v>
      </c>
    </row>
    <row r="579" spans="15:16" x14ac:dyDescent="0.25">
      <c r="O579">
        <v>1.2521739130434784</v>
      </c>
      <c r="P579">
        <v>0.32500000000000001</v>
      </c>
    </row>
    <row r="580" spans="15:16" x14ac:dyDescent="0.25">
      <c r="O580">
        <v>1.2543478260869565</v>
      </c>
      <c r="P580">
        <v>0.32500000000000001</v>
      </c>
    </row>
    <row r="581" spans="15:16" x14ac:dyDescent="0.25">
      <c r="O581">
        <v>1.2565217391304349</v>
      </c>
      <c r="P581">
        <v>0.32500000000000001</v>
      </c>
    </row>
    <row r="582" spans="15:16" x14ac:dyDescent="0.25">
      <c r="O582">
        <v>1.258695652173913</v>
      </c>
      <c r="P582">
        <v>0.32500000000000001</v>
      </c>
    </row>
    <row r="583" spans="15:16" x14ac:dyDescent="0.25">
      <c r="O583">
        <v>1.2608695652173914</v>
      </c>
      <c r="P583">
        <v>0.32500000000000001</v>
      </c>
    </row>
    <row r="584" spans="15:16" x14ac:dyDescent="0.25">
      <c r="O584">
        <v>1.2630434782608695</v>
      </c>
      <c r="P584">
        <v>0.32500000000000001</v>
      </c>
    </row>
    <row r="585" spans="15:16" x14ac:dyDescent="0.25">
      <c r="O585">
        <v>1.2652173913043478</v>
      </c>
      <c r="P585">
        <v>0.32500000000000001</v>
      </c>
    </row>
    <row r="586" spans="15:16" x14ac:dyDescent="0.25">
      <c r="O586">
        <v>1.267391304347826</v>
      </c>
      <c r="P586">
        <v>0.32500000000000001</v>
      </c>
    </row>
    <row r="587" spans="15:16" x14ac:dyDescent="0.25">
      <c r="O587">
        <v>1.2695652173913043</v>
      </c>
      <c r="P587">
        <v>0.32500000000000001</v>
      </c>
    </row>
    <row r="588" spans="15:16" x14ac:dyDescent="0.25">
      <c r="O588">
        <v>1.2717391304347827</v>
      </c>
      <c r="P588">
        <v>0.32500000000000001</v>
      </c>
    </row>
    <row r="589" spans="15:16" x14ac:dyDescent="0.25">
      <c r="O589">
        <v>1.2739130434782608</v>
      </c>
      <c r="P589">
        <v>0.32500000000000001</v>
      </c>
    </row>
    <row r="590" spans="15:16" x14ac:dyDescent="0.25">
      <c r="O590">
        <v>1.2760869565217392</v>
      </c>
      <c r="P590">
        <v>0.32500000000000001</v>
      </c>
    </row>
    <row r="591" spans="15:16" x14ac:dyDescent="0.25">
      <c r="O591">
        <v>1.2782608695652173</v>
      </c>
      <c r="P591">
        <v>0.32500000000000001</v>
      </c>
    </row>
    <row r="592" spans="15:16" x14ac:dyDescent="0.25">
      <c r="O592">
        <v>1.2804347826086957</v>
      </c>
      <c r="P592">
        <v>0.32500000000000001</v>
      </c>
    </row>
    <row r="593" spans="15:16" x14ac:dyDescent="0.25">
      <c r="O593">
        <v>1.2826086956521738</v>
      </c>
      <c r="P593">
        <v>0.32500000000000001</v>
      </c>
    </row>
    <row r="594" spans="15:16" x14ac:dyDescent="0.25">
      <c r="O594">
        <v>1.2847826086956522</v>
      </c>
      <c r="P594">
        <v>0.32500000000000001</v>
      </c>
    </row>
    <row r="595" spans="15:16" x14ac:dyDescent="0.25">
      <c r="O595">
        <v>1.2869565217391303</v>
      </c>
      <c r="P595">
        <v>0.32500000000000001</v>
      </c>
    </row>
    <row r="596" spans="15:16" x14ac:dyDescent="0.25">
      <c r="O596">
        <v>1.2891304347826087</v>
      </c>
      <c r="P596">
        <v>0.32500000000000001</v>
      </c>
    </row>
    <row r="597" spans="15:16" x14ac:dyDescent="0.25">
      <c r="O597">
        <v>1.2913043478260871</v>
      </c>
      <c r="P597">
        <v>0.32500000000000001</v>
      </c>
    </row>
    <row r="598" spans="15:16" x14ac:dyDescent="0.25">
      <c r="O598">
        <v>1.2934782608695652</v>
      </c>
      <c r="P598">
        <v>0.32500000000000001</v>
      </c>
    </row>
    <row r="599" spans="15:16" x14ac:dyDescent="0.25">
      <c r="O599">
        <v>1.2956521739130435</v>
      </c>
      <c r="P599">
        <v>0.32500000000000001</v>
      </c>
    </row>
    <row r="600" spans="15:16" x14ac:dyDescent="0.25">
      <c r="O600">
        <v>1.2978260869565217</v>
      </c>
      <c r="P600">
        <v>0.32500000000000001</v>
      </c>
    </row>
    <row r="601" spans="15:16" x14ac:dyDescent="0.25">
      <c r="O601">
        <v>1.3</v>
      </c>
      <c r="P601">
        <v>0.32500000000000001</v>
      </c>
    </row>
    <row r="602" spans="15:16" x14ac:dyDescent="0.25">
      <c r="O602">
        <v>1.3021739130434782</v>
      </c>
      <c r="P602">
        <v>0.32500000000000001</v>
      </c>
    </row>
    <row r="603" spans="15:16" x14ac:dyDescent="0.25">
      <c r="O603">
        <v>1.3043478260869565</v>
      </c>
      <c r="P603">
        <v>0.32500000000000001</v>
      </c>
    </row>
    <row r="604" spans="15:16" x14ac:dyDescent="0.25">
      <c r="O604">
        <v>1.3065217391304347</v>
      </c>
      <c r="P604">
        <v>0.32500000000000001</v>
      </c>
    </row>
    <row r="605" spans="15:16" x14ac:dyDescent="0.25">
      <c r="O605">
        <v>1.308695652173913</v>
      </c>
      <c r="P605">
        <v>0.32500000000000001</v>
      </c>
    </row>
    <row r="606" spans="15:16" x14ac:dyDescent="0.25">
      <c r="O606">
        <v>1.3108695652173914</v>
      </c>
      <c r="P606">
        <v>0.32500000000000001</v>
      </c>
    </row>
    <row r="607" spans="15:16" x14ac:dyDescent="0.25">
      <c r="O607">
        <v>1.3130434782608695</v>
      </c>
      <c r="P607">
        <v>0.32500000000000001</v>
      </c>
    </row>
    <row r="608" spans="15:16" x14ac:dyDescent="0.25">
      <c r="O608">
        <v>1.3152173913043479</v>
      </c>
      <c r="P608">
        <v>0.32500000000000001</v>
      </c>
    </row>
    <row r="609" spans="15:16" x14ac:dyDescent="0.25">
      <c r="O609">
        <v>1.317391304347826</v>
      </c>
      <c r="P609">
        <v>0.32500000000000001</v>
      </c>
    </row>
    <row r="610" spans="15:16" x14ac:dyDescent="0.25">
      <c r="O610">
        <v>1.3195652173913044</v>
      </c>
      <c r="P610">
        <v>0.32500000000000001</v>
      </c>
    </row>
    <row r="611" spans="15:16" x14ac:dyDescent="0.25">
      <c r="O611">
        <v>1.3217391304347825</v>
      </c>
      <c r="P611">
        <v>0.32500000000000001</v>
      </c>
    </row>
    <row r="612" spans="15:16" x14ac:dyDescent="0.25">
      <c r="O612">
        <v>1.3239130434782609</v>
      </c>
      <c r="P612">
        <v>0.32500000000000001</v>
      </c>
    </row>
    <row r="613" spans="15:16" x14ac:dyDescent="0.25">
      <c r="O613">
        <v>1.326086956521739</v>
      </c>
      <c r="P613">
        <v>0.32500000000000001</v>
      </c>
    </row>
    <row r="614" spans="15:16" x14ac:dyDescent="0.25">
      <c r="O614">
        <v>1.3282608695652174</v>
      </c>
      <c r="P614">
        <v>0.32500000000000001</v>
      </c>
    </row>
    <row r="615" spans="15:16" x14ac:dyDescent="0.25">
      <c r="O615">
        <v>1.3304347826086957</v>
      </c>
      <c r="P615">
        <v>0.32500000000000001</v>
      </c>
    </row>
    <row r="616" spans="15:16" x14ac:dyDescent="0.25">
      <c r="O616">
        <v>1.3326086956521739</v>
      </c>
      <c r="P616">
        <v>0.32500000000000001</v>
      </c>
    </row>
    <row r="617" spans="15:16" x14ac:dyDescent="0.25">
      <c r="O617">
        <v>1.3347826086956522</v>
      </c>
      <c r="P617">
        <v>0.32500000000000001</v>
      </c>
    </row>
    <row r="618" spans="15:16" x14ac:dyDescent="0.25">
      <c r="O618">
        <v>1.3369565217391304</v>
      </c>
      <c r="P618">
        <v>0.32500000000000001</v>
      </c>
    </row>
    <row r="619" spans="15:16" x14ac:dyDescent="0.25">
      <c r="O619">
        <v>1.3391304347826087</v>
      </c>
      <c r="P619">
        <v>0.32500000000000001</v>
      </c>
    </row>
    <row r="620" spans="15:16" x14ac:dyDescent="0.25">
      <c r="O620">
        <v>1.3413043478260869</v>
      </c>
      <c r="P620">
        <v>0.32500000000000001</v>
      </c>
    </row>
    <row r="621" spans="15:16" x14ac:dyDescent="0.25">
      <c r="O621">
        <v>1.3434782608695652</v>
      </c>
      <c r="P621">
        <v>0.32500000000000001</v>
      </c>
    </row>
    <row r="622" spans="15:16" x14ac:dyDescent="0.25">
      <c r="O622">
        <v>1.3456521739130434</v>
      </c>
      <c r="P622">
        <v>0.32500000000000001</v>
      </c>
    </row>
    <row r="623" spans="15:16" x14ac:dyDescent="0.25">
      <c r="O623">
        <v>1.3478260869565217</v>
      </c>
      <c r="P623">
        <v>0.32500000000000001</v>
      </c>
    </row>
    <row r="624" spans="15:16" x14ac:dyDescent="0.25">
      <c r="O624">
        <v>1.35</v>
      </c>
      <c r="P624">
        <v>0.32500000000000001</v>
      </c>
    </row>
    <row r="625" spans="15:16" x14ac:dyDescent="0.25">
      <c r="O625">
        <v>1.3521739130434782</v>
      </c>
      <c r="P625">
        <v>0.32500000000000001</v>
      </c>
    </row>
    <row r="626" spans="15:16" x14ac:dyDescent="0.25">
      <c r="O626">
        <v>1.3543478260869566</v>
      </c>
      <c r="P626">
        <v>0.32500000000000001</v>
      </c>
    </row>
    <row r="627" spans="15:16" x14ac:dyDescent="0.25">
      <c r="O627">
        <v>1.3565217391304347</v>
      </c>
      <c r="P627">
        <v>0.32500000000000001</v>
      </c>
    </row>
    <row r="628" spans="15:16" x14ac:dyDescent="0.25">
      <c r="O628">
        <v>1.3586956521739131</v>
      </c>
      <c r="P628">
        <v>0.32500000000000001</v>
      </c>
    </row>
    <row r="629" spans="15:16" x14ac:dyDescent="0.25">
      <c r="O629">
        <v>1.3608695652173912</v>
      </c>
      <c r="P629">
        <v>0.32500000000000001</v>
      </c>
    </row>
    <row r="630" spans="15:16" x14ac:dyDescent="0.25">
      <c r="O630">
        <v>1.3630434782608696</v>
      </c>
      <c r="P630">
        <v>0.32500000000000001</v>
      </c>
    </row>
    <row r="631" spans="15:16" x14ac:dyDescent="0.25">
      <c r="O631">
        <v>1.3652173913043477</v>
      </c>
      <c r="P631">
        <v>0.32500000000000001</v>
      </c>
    </row>
    <row r="632" spans="15:16" x14ac:dyDescent="0.25">
      <c r="O632">
        <v>1.3673913043478261</v>
      </c>
      <c r="P632">
        <v>0.32500000000000001</v>
      </c>
    </row>
    <row r="633" spans="15:16" x14ac:dyDescent="0.25">
      <c r="O633">
        <v>1.3695652173913044</v>
      </c>
      <c r="P633">
        <v>0.32500000000000001</v>
      </c>
    </row>
    <row r="634" spans="15:16" x14ac:dyDescent="0.25">
      <c r="O634">
        <v>1.3717391304347826</v>
      </c>
      <c r="P634">
        <v>0.32500000000000001</v>
      </c>
    </row>
    <row r="635" spans="15:16" x14ac:dyDescent="0.25">
      <c r="O635">
        <v>1.3739130434782609</v>
      </c>
      <c r="P635">
        <v>0.32500000000000001</v>
      </c>
    </row>
    <row r="636" spans="15:16" x14ac:dyDescent="0.25">
      <c r="O636">
        <v>1.3760869565217391</v>
      </c>
      <c r="P636">
        <v>0.32500000000000001</v>
      </c>
    </row>
    <row r="637" spans="15:16" x14ac:dyDescent="0.25">
      <c r="O637">
        <v>1.3782608695652174</v>
      </c>
      <c r="P637">
        <v>0.32500000000000001</v>
      </c>
    </row>
    <row r="638" spans="15:16" x14ac:dyDescent="0.25">
      <c r="O638">
        <v>1.3804347826086956</v>
      </c>
      <c r="P638">
        <v>0.32500000000000001</v>
      </c>
    </row>
    <row r="639" spans="15:16" x14ac:dyDescent="0.25">
      <c r="O639">
        <v>1.3826086956521739</v>
      </c>
      <c r="P639">
        <v>0.32500000000000001</v>
      </c>
    </row>
    <row r="640" spans="15:16" x14ac:dyDescent="0.25">
      <c r="O640">
        <v>1.3847826086956523</v>
      </c>
      <c r="P640">
        <v>0.32500000000000001</v>
      </c>
    </row>
    <row r="641" spans="15:16" x14ac:dyDescent="0.25">
      <c r="O641">
        <v>1.3869565217391304</v>
      </c>
      <c r="P641">
        <v>0.32500000000000001</v>
      </c>
    </row>
    <row r="642" spans="15:16" x14ac:dyDescent="0.25">
      <c r="O642">
        <v>1.3891304347826088</v>
      </c>
      <c r="P642">
        <v>0.32500000000000001</v>
      </c>
    </row>
    <row r="643" spans="15:16" x14ac:dyDescent="0.25">
      <c r="O643">
        <v>1.3913043478260869</v>
      </c>
      <c r="P643">
        <v>0.32500000000000001</v>
      </c>
    </row>
    <row r="644" spans="15:16" x14ac:dyDescent="0.25">
      <c r="O644">
        <v>1.3934782608695653</v>
      </c>
      <c r="P644">
        <v>0.32500000000000001</v>
      </c>
    </row>
    <row r="645" spans="15:16" x14ac:dyDescent="0.25">
      <c r="O645">
        <v>1.3956521739130434</v>
      </c>
      <c r="P645">
        <v>0.32500000000000001</v>
      </c>
    </row>
    <row r="646" spans="15:16" x14ac:dyDescent="0.25">
      <c r="O646">
        <v>1.3978260869565218</v>
      </c>
      <c r="P646">
        <v>0.32500000000000001</v>
      </c>
    </row>
    <row r="647" spans="15:16" x14ac:dyDescent="0.25">
      <c r="O647">
        <v>1.4</v>
      </c>
      <c r="P647">
        <v>0.32500000000000001</v>
      </c>
    </row>
    <row r="648" spans="15:16" x14ac:dyDescent="0.25">
      <c r="O648">
        <v>1.4021739130434783</v>
      </c>
      <c r="P648">
        <v>0.32500000000000001</v>
      </c>
    </row>
    <row r="649" spans="15:16" x14ac:dyDescent="0.25">
      <c r="O649">
        <v>1.4043478260869566</v>
      </c>
      <c r="P649">
        <v>0.32500000000000001</v>
      </c>
    </row>
    <row r="650" spans="15:16" x14ac:dyDescent="0.25">
      <c r="O650">
        <v>1.4065217391304348</v>
      </c>
      <c r="P650">
        <v>0.32500000000000001</v>
      </c>
    </row>
    <row r="651" spans="15:16" x14ac:dyDescent="0.25">
      <c r="O651">
        <v>1.4086956521739131</v>
      </c>
      <c r="P651">
        <v>0.32500000000000001</v>
      </c>
    </row>
    <row r="652" spans="15:16" x14ac:dyDescent="0.25">
      <c r="O652">
        <v>1.4108695652173913</v>
      </c>
      <c r="P652">
        <v>0.32500000000000001</v>
      </c>
    </row>
    <row r="653" spans="15:16" x14ac:dyDescent="0.25">
      <c r="O653">
        <v>1.4130434782608696</v>
      </c>
      <c r="P653">
        <v>0.32500000000000001</v>
      </c>
    </row>
    <row r="654" spans="15:16" x14ac:dyDescent="0.25">
      <c r="O654">
        <v>1.4152173913043478</v>
      </c>
      <c r="P654">
        <v>0.32500000000000001</v>
      </c>
    </row>
    <row r="655" spans="15:16" x14ac:dyDescent="0.25">
      <c r="O655">
        <v>1.4173913043478261</v>
      </c>
      <c r="P655">
        <v>0.32500000000000001</v>
      </c>
    </row>
    <row r="656" spans="15:16" x14ac:dyDescent="0.25">
      <c r="O656">
        <v>1.4195652173913043</v>
      </c>
      <c r="P656">
        <v>0.32500000000000001</v>
      </c>
    </row>
    <row r="657" spans="15:16" x14ac:dyDescent="0.25">
      <c r="O657">
        <v>1.4217391304347826</v>
      </c>
      <c r="P657">
        <v>0.32500000000000001</v>
      </c>
    </row>
    <row r="658" spans="15:16" x14ac:dyDescent="0.25">
      <c r="O658">
        <v>1.423913043478261</v>
      </c>
      <c r="P658">
        <v>0.32500000000000001</v>
      </c>
    </row>
    <row r="659" spans="15:16" x14ac:dyDescent="0.25">
      <c r="O659">
        <v>1.4260869565217391</v>
      </c>
      <c r="P659">
        <v>0.32500000000000001</v>
      </c>
    </row>
    <row r="660" spans="15:16" x14ac:dyDescent="0.25">
      <c r="O660">
        <v>1.4282608695652175</v>
      </c>
      <c r="P660">
        <v>0.32500000000000001</v>
      </c>
    </row>
    <row r="661" spans="15:16" x14ac:dyDescent="0.25">
      <c r="O661">
        <v>1.4304347826086956</v>
      </c>
      <c r="P661">
        <v>0.32500000000000001</v>
      </c>
    </row>
    <row r="662" spans="15:16" x14ac:dyDescent="0.25">
      <c r="O662">
        <v>1.432608695652174</v>
      </c>
      <c r="P662">
        <v>0.32500000000000001</v>
      </c>
    </row>
    <row r="663" spans="15:16" x14ac:dyDescent="0.25">
      <c r="O663">
        <v>1.4347826086956521</v>
      </c>
      <c r="P663">
        <v>0.32500000000000001</v>
      </c>
    </row>
    <row r="664" spans="15:16" x14ac:dyDescent="0.25">
      <c r="O664">
        <v>1.4369565217391305</v>
      </c>
      <c r="P664">
        <v>0.32500000000000001</v>
      </c>
    </row>
    <row r="665" spans="15:16" x14ac:dyDescent="0.25">
      <c r="O665">
        <v>1.4391304347826086</v>
      </c>
      <c r="P665">
        <v>0.32500000000000001</v>
      </c>
    </row>
    <row r="666" spans="15:16" x14ac:dyDescent="0.25">
      <c r="O666">
        <v>1.441304347826087</v>
      </c>
      <c r="P666">
        <v>0.32500000000000001</v>
      </c>
    </row>
    <row r="667" spans="15:16" x14ac:dyDescent="0.25">
      <c r="O667">
        <v>1.4434782608695653</v>
      </c>
      <c r="P667">
        <v>0.32500000000000001</v>
      </c>
    </row>
    <row r="668" spans="15:16" x14ac:dyDescent="0.25">
      <c r="O668">
        <v>1.4456521739130435</v>
      </c>
      <c r="P668">
        <v>0.32500000000000001</v>
      </c>
    </row>
    <row r="669" spans="15:16" x14ac:dyDescent="0.25">
      <c r="O669">
        <v>1.4478260869565218</v>
      </c>
      <c r="P669">
        <v>0.32500000000000001</v>
      </c>
    </row>
    <row r="670" spans="15:16" x14ac:dyDescent="0.25">
      <c r="O670">
        <v>1.45</v>
      </c>
      <c r="P670">
        <v>0.32500000000000001</v>
      </c>
    </row>
    <row r="671" spans="15:16" x14ac:dyDescent="0.25">
      <c r="O671">
        <v>1.4521739130434783</v>
      </c>
      <c r="P671">
        <v>0.32500000000000001</v>
      </c>
    </row>
    <row r="672" spans="15:16" x14ac:dyDescent="0.25">
      <c r="O672">
        <v>1.4543478260869565</v>
      </c>
      <c r="P672">
        <v>0.32500000000000001</v>
      </c>
    </row>
    <row r="673" spans="15:16" x14ac:dyDescent="0.25">
      <c r="O673">
        <v>1.4565217391304348</v>
      </c>
      <c r="P673">
        <v>0.32500000000000001</v>
      </c>
    </row>
    <row r="674" spans="15:16" x14ac:dyDescent="0.25">
      <c r="O674">
        <v>1.4586956521739129</v>
      </c>
      <c r="P674">
        <v>0.32500000000000001</v>
      </c>
    </row>
    <row r="675" spans="15:16" x14ac:dyDescent="0.25">
      <c r="O675">
        <v>1.4608695652173913</v>
      </c>
      <c r="P675">
        <v>0.32500000000000001</v>
      </c>
    </row>
    <row r="676" spans="15:16" x14ac:dyDescent="0.25">
      <c r="O676">
        <v>1.4630434782608697</v>
      </c>
      <c r="P676">
        <v>0.32500000000000001</v>
      </c>
    </row>
    <row r="677" spans="15:16" x14ac:dyDescent="0.25">
      <c r="O677">
        <v>1.4652173913043478</v>
      </c>
      <c r="P677">
        <v>0.32500000000000001</v>
      </c>
    </row>
    <row r="678" spans="15:16" x14ac:dyDescent="0.25">
      <c r="O678">
        <v>1.4673913043478262</v>
      </c>
      <c r="P678">
        <v>0.32500000000000001</v>
      </c>
    </row>
    <row r="679" spans="15:16" x14ac:dyDescent="0.25">
      <c r="O679">
        <v>1.4695652173913043</v>
      </c>
      <c r="P679">
        <v>0.32500000000000001</v>
      </c>
    </row>
    <row r="680" spans="15:16" x14ac:dyDescent="0.25">
      <c r="O680">
        <v>1.4717391304347827</v>
      </c>
      <c r="P680">
        <v>0.32500000000000001</v>
      </c>
    </row>
    <row r="681" spans="15:16" x14ac:dyDescent="0.25">
      <c r="O681">
        <v>1.4739130434782608</v>
      </c>
      <c r="P681">
        <v>0.32500000000000001</v>
      </c>
    </row>
    <row r="682" spans="15:16" x14ac:dyDescent="0.25">
      <c r="O682">
        <v>1.4760869565217392</v>
      </c>
      <c r="P682">
        <v>0.32500000000000001</v>
      </c>
    </row>
    <row r="683" spans="15:16" x14ac:dyDescent="0.25">
      <c r="O683">
        <v>1.4782608695652173</v>
      </c>
      <c r="P683">
        <v>0.32500000000000001</v>
      </c>
    </row>
    <row r="684" spans="15:16" x14ac:dyDescent="0.25">
      <c r="O684">
        <v>1.4804347826086957</v>
      </c>
      <c r="P684">
        <v>0.32500000000000001</v>
      </c>
    </row>
    <row r="685" spans="15:16" x14ac:dyDescent="0.25">
      <c r="O685">
        <v>1.482608695652174</v>
      </c>
      <c r="P685">
        <v>0.32500000000000001</v>
      </c>
    </row>
    <row r="686" spans="15:16" x14ac:dyDescent="0.25">
      <c r="O686">
        <v>1.4847826086956522</v>
      </c>
      <c r="P686">
        <v>0.32500000000000001</v>
      </c>
    </row>
    <row r="687" spans="15:16" x14ac:dyDescent="0.25">
      <c r="O687">
        <v>1.4869565217391305</v>
      </c>
      <c r="P687">
        <v>0.32500000000000001</v>
      </c>
    </row>
    <row r="688" spans="15:16" x14ac:dyDescent="0.25">
      <c r="O688">
        <v>1.4891304347826086</v>
      </c>
      <c r="P688">
        <v>0.32500000000000001</v>
      </c>
    </row>
    <row r="689" spans="15:16" x14ac:dyDescent="0.25">
      <c r="O689">
        <v>1.491304347826087</v>
      </c>
      <c r="P689">
        <v>0.32500000000000001</v>
      </c>
    </row>
    <row r="690" spans="15:16" x14ac:dyDescent="0.25">
      <c r="O690">
        <v>1.4934782608695651</v>
      </c>
      <c r="P690">
        <v>0.32500000000000001</v>
      </c>
    </row>
    <row r="691" spans="15:16" x14ac:dyDescent="0.25">
      <c r="O691">
        <v>1.4956521739130435</v>
      </c>
      <c r="P691">
        <v>0.32500000000000001</v>
      </c>
    </row>
    <row r="692" spans="15:16" x14ac:dyDescent="0.25">
      <c r="O692">
        <v>1.4978260869565216</v>
      </c>
      <c r="P692">
        <v>0.32500000000000001</v>
      </c>
    </row>
    <row r="693" spans="15:16" x14ac:dyDescent="0.25">
      <c r="O693">
        <v>1.5</v>
      </c>
      <c r="P693">
        <v>0.32500000000000001</v>
      </c>
    </row>
    <row r="694" spans="15:16" x14ac:dyDescent="0.25">
      <c r="O694">
        <v>1.5021739130434784</v>
      </c>
      <c r="P694">
        <v>0.32500000000000001</v>
      </c>
    </row>
    <row r="695" spans="15:16" x14ac:dyDescent="0.25">
      <c r="O695">
        <v>1.5043478260869565</v>
      </c>
      <c r="P695">
        <v>0.32500000000000001</v>
      </c>
    </row>
    <row r="696" spans="15:16" x14ac:dyDescent="0.25">
      <c r="O696">
        <v>1.5065217391304349</v>
      </c>
      <c r="P696">
        <v>0.32500000000000001</v>
      </c>
    </row>
    <row r="697" spans="15:16" x14ac:dyDescent="0.25">
      <c r="O697">
        <v>1.508695652173913</v>
      </c>
      <c r="P697">
        <v>0.32500000000000001</v>
      </c>
    </row>
    <row r="698" spans="15:16" x14ac:dyDescent="0.25">
      <c r="O698">
        <v>1.5108695652173914</v>
      </c>
      <c r="P698">
        <v>0.32500000000000001</v>
      </c>
    </row>
    <row r="699" spans="15:16" x14ac:dyDescent="0.25">
      <c r="O699">
        <v>1.5130434782608695</v>
      </c>
      <c r="P699">
        <v>0.32500000000000001</v>
      </c>
    </row>
    <row r="700" spans="15:16" x14ac:dyDescent="0.25">
      <c r="O700">
        <v>1.5152173913043478</v>
      </c>
      <c r="P700">
        <v>0.32500000000000001</v>
      </c>
    </row>
    <row r="701" spans="15:16" x14ac:dyDescent="0.25">
      <c r="O701">
        <v>1.517391304347826</v>
      </c>
      <c r="P701">
        <v>0.32500000000000001</v>
      </c>
    </row>
    <row r="702" spans="15:16" x14ac:dyDescent="0.25">
      <c r="O702">
        <v>1.5195652173913043</v>
      </c>
      <c r="P702">
        <v>0.32500000000000001</v>
      </c>
    </row>
    <row r="703" spans="15:16" x14ac:dyDescent="0.25">
      <c r="O703">
        <v>1.5217391304347827</v>
      </c>
      <c r="P703">
        <v>0.32500000000000001</v>
      </c>
    </row>
    <row r="704" spans="15:16" x14ac:dyDescent="0.25">
      <c r="O704">
        <v>1.5239130434782608</v>
      </c>
      <c r="P704">
        <v>0.32500000000000001</v>
      </c>
    </row>
    <row r="705" spans="15:16" x14ac:dyDescent="0.25">
      <c r="O705">
        <v>1.5260869565217392</v>
      </c>
      <c r="P705">
        <v>0.32500000000000001</v>
      </c>
    </row>
    <row r="706" spans="15:16" x14ac:dyDescent="0.25">
      <c r="O706">
        <v>1.5282608695652173</v>
      </c>
      <c r="P706">
        <v>0.32500000000000001</v>
      </c>
    </row>
    <row r="707" spans="15:16" x14ac:dyDescent="0.25">
      <c r="O707">
        <v>1.5304347826086957</v>
      </c>
      <c r="P707">
        <v>0.32500000000000001</v>
      </c>
    </row>
    <row r="708" spans="15:16" x14ac:dyDescent="0.25">
      <c r="O708">
        <v>1.5326086956521738</v>
      </c>
      <c r="P708">
        <v>0.32500000000000001</v>
      </c>
    </row>
    <row r="709" spans="15:16" x14ac:dyDescent="0.25">
      <c r="O709">
        <v>1.5347826086956522</v>
      </c>
      <c r="P709">
        <v>0.32500000000000001</v>
      </c>
    </row>
    <row r="710" spans="15:16" x14ac:dyDescent="0.25">
      <c r="O710">
        <v>1.5369565217391303</v>
      </c>
      <c r="P710">
        <v>0.32500000000000001</v>
      </c>
    </row>
    <row r="711" spans="15:16" x14ac:dyDescent="0.25">
      <c r="O711">
        <v>1.5391304347826087</v>
      </c>
      <c r="P711">
        <v>0.32500000000000001</v>
      </c>
    </row>
    <row r="712" spans="15:16" x14ac:dyDescent="0.25">
      <c r="O712">
        <v>1.5413043478260871</v>
      </c>
      <c r="P712">
        <v>0.32500000000000001</v>
      </c>
    </row>
    <row r="713" spans="15:16" x14ac:dyDescent="0.25">
      <c r="O713">
        <v>1.5434782608695652</v>
      </c>
      <c r="P713">
        <v>0.32500000000000001</v>
      </c>
    </row>
    <row r="714" spans="15:16" x14ac:dyDescent="0.25">
      <c r="O714">
        <v>1.5456521739130435</v>
      </c>
      <c r="P714">
        <v>0.32500000000000001</v>
      </c>
    </row>
    <row r="715" spans="15:16" x14ac:dyDescent="0.25">
      <c r="O715">
        <v>1.5478260869565217</v>
      </c>
      <c r="P715">
        <v>0.32500000000000001</v>
      </c>
    </row>
    <row r="716" spans="15:16" x14ac:dyDescent="0.25">
      <c r="O716">
        <v>1.55</v>
      </c>
      <c r="P716">
        <v>0.32500000000000001</v>
      </c>
    </row>
    <row r="717" spans="15:16" x14ac:dyDescent="0.25">
      <c r="O717">
        <v>1.5521739130434782</v>
      </c>
      <c r="P717">
        <v>0.32500000000000001</v>
      </c>
    </row>
    <row r="718" spans="15:16" x14ac:dyDescent="0.25">
      <c r="O718">
        <v>1.5543478260869565</v>
      </c>
      <c r="P718">
        <v>0.32500000000000001</v>
      </c>
    </row>
    <row r="719" spans="15:16" x14ac:dyDescent="0.25">
      <c r="O719">
        <v>1.5565217391304347</v>
      </c>
      <c r="P719">
        <v>0.32500000000000001</v>
      </c>
    </row>
    <row r="720" spans="15:16" x14ac:dyDescent="0.25">
      <c r="O720">
        <v>1.558695652173913</v>
      </c>
      <c r="P720">
        <v>0.32500000000000001</v>
      </c>
    </row>
    <row r="721" spans="15:16" x14ac:dyDescent="0.25">
      <c r="O721">
        <v>1.5608695652173914</v>
      </c>
      <c r="P721">
        <v>0.32500000000000001</v>
      </c>
    </row>
    <row r="722" spans="15:16" x14ac:dyDescent="0.25">
      <c r="O722">
        <v>1.5630434782608695</v>
      </c>
      <c r="P722">
        <v>0.32500000000000001</v>
      </c>
    </row>
    <row r="723" spans="15:16" x14ac:dyDescent="0.25">
      <c r="O723">
        <v>1.5652173913043479</v>
      </c>
      <c r="P723">
        <v>0.32500000000000001</v>
      </c>
    </row>
    <row r="724" spans="15:16" x14ac:dyDescent="0.25">
      <c r="O724">
        <v>1.567391304347826</v>
      </c>
      <c r="P724">
        <v>0.32500000000000001</v>
      </c>
    </row>
    <row r="725" spans="15:16" x14ac:dyDescent="0.25">
      <c r="O725">
        <v>1.5695652173913044</v>
      </c>
      <c r="P725">
        <v>0.32500000000000001</v>
      </c>
    </row>
    <row r="726" spans="15:16" x14ac:dyDescent="0.25">
      <c r="O726">
        <v>1.5717391304347825</v>
      </c>
      <c r="P726">
        <v>0.32500000000000001</v>
      </c>
    </row>
    <row r="727" spans="15:16" x14ac:dyDescent="0.25">
      <c r="O727">
        <v>1.5739130434782609</v>
      </c>
      <c r="P727">
        <v>0.32500000000000001</v>
      </c>
    </row>
    <row r="728" spans="15:16" x14ac:dyDescent="0.25">
      <c r="O728">
        <v>1.576086956521739</v>
      </c>
      <c r="P728">
        <v>0.32500000000000001</v>
      </c>
    </row>
    <row r="729" spans="15:16" x14ac:dyDescent="0.25">
      <c r="O729">
        <v>1.5782608695652174</v>
      </c>
      <c r="P729">
        <v>0.32500000000000001</v>
      </c>
    </row>
    <row r="730" spans="15:16" x14ac:dyDescent="0.25">
      <c r="O730">
        <v>1.5804347826086957</v>
      </c>
      <c r="P730">
        <v>0.32500000000000001</v>
      </c>
    </row>
    <row r="731" spans="15:16" x14ac:dyDescent="0.25">
      <c r="O731">
        <v>1.5826086956521739</v>
      </c>
      <c r="P731">
        <v>0.32500000000000001</v>
      </c>
    </row>
    <row r="732" spans="15:16" x14ac:dyDescent="0.25">
      <c r="O732">
        <v>1.5847826086956522</v>
      </c>
      <c r="P732">
        <v>0.32500000000000001</v>
      </c>
    </row>
    <row r="733" spans="15:16" x14ac:dyDescent="0.25">
      <c r="O733">
        <v>1.5869565217391304</v>
      </c>
      <c r="P733">
        <v>0.32500000000000001</v>
      </c>
    </row>
    <row r="734" spans="15:16" x14ac:dyDescent="0.25">
      <c r="O734">
        <v>1.5891304347826087</v>
      </c>
      <c r="P734">
        <v>0.32500000000000001</v>
      </c>
    </row>
    <row r="735" spans="15:16" x14ac:dyDescent="0.25">
      <c r="O735">
        <v>1.5913043478260869</v>
      </c>
      <c r="P735">
        <v>0.32500000000000001</v>
      </c>
    </row>
    <row r="736" spans="15:16" x14ac:dyDescent="0.25">
      <c r="O736">
        <v>1.5934782608695652</v>
      </c>
      <c r="P736">
        <v>0.32500000000000001</v>
      </c>
    </row>
    <row r="737" spans="15:16" x14ac:dyDescent="0.25">
      <c r="O737">
        <v>1.5956521739130434</v>
      </c>
      <c r="P737">
        <v>0.32500000000000001</v>
      </c>
    </row>
    <row r="738" spans="15:16" x14ac:dyDescent="0.25">
      <c r="O738">
        <v>1.5978260869565217</v>
      </c>
      <c r="P738">
        <v>0.32500000000000001</v>
      </c>
    </row>
    <row r="739" spans="15:16" x14ac:dyDescent="0.25">
      <c r="O739">
        <v>1.6</v>
      </c>
      <c r="P739">
        <v>0.32500000000000001</v>
      </c>
    </row>
    <row r="740" spans="15:16" x14ac:dyDescent="0.25">
      <c r="O740">
        <v>1.6021739130434782</v>
      </c>
      <c r="P740">
        <v>0.32500000000000001</v>
      </c>
    </row>
    <row r="741" spans="15:16" x14ac:dyDescent="0.25">
      <c r="O741">
        <v>1.6043478260869566</v>
      </c>
      <c r="P741">
        <v>0.32500000000000001</v>
      </c>
    </row>
    <row r="742" spans="15:16" x14ac:dyDescent="0.25">
      <c r="O742">
        <v>1.6065217391304347</v>
      </c>
      <c r="P742">
        <v>0.32500000000000001</v>
      </c>
    </row>
    <row r="743" spans="15:16" x14ac:dyDescent="0.25">
      <c r="O743">
        <v>1.6086956521739131</v>
      </c>
      <c r="P743">
        <v>0.32500000000000001</v>
      </c>
    </row>
    <row r="744" spans="15:16" x14ac:dyDescent="0.25">
      <c r="O744">
        <v>1.6108695652173912</v>
      </c>
      <c r="P744">
        <v>0.32500000000000001</v>
      </c>
    </row>
    <row r="745" spans="15:16" x14ac:dyDescent="0.25">
      <c r="O745">
        <v>1.6130434782608696</v>
      </c>
      <c r="P745">
        <v>0.32500000000000001</v>
      </c>
    </row>
    <row r="746" spans="15:16" x14ac:dyDescent="0.25">
      <c r="O746">
        <v>1.6152173913043477</v>
      </c>
      <c r="P746">
        <v>0.32500000000000001</v>
      </c>
    </row>
    <row r="747" spans="15:16" x14ac:dyDescent="0.25">
      <c r="O747">
        <v>1.6173913043478261</v>
      </c>
      <c r="P747">
        <v>0.32500000000000001</v>
      </c>
    </row>
    <row r="748" spans="15:16" x14ac:dyDescent="0.25">
      <c r="O748">
        <v>1.6195652173913044</v>
      </c>
      <c r="P748">
        <v>0.32500000000000001</v>
      </c>
    </row>
    <row r="749" spans="15:16" x14ac:dyDescent="0.25">
      <c r="O749">
        <v>1.6217391304347826</v>
      </c>
      <c r="P749">
        <v>0.32500000000000001</v>
      </c>
    </row>
    <row r="750" spans="15:16" x14ac:dyDescent="0.25">
      <c r="O750">
        <v>1.6239130434782609</v>
      </c>
      <c r="P750">
        <v>0.32500000000000001</v>
      </c>
    </row>
    <row r="751" spans="15:16" x14ac:dyDescent="0.25">
      <c r="O751">
        <v>1.6260869565217391</v>
      </c>
      <c r="P751">
        <v>0.32500000000000001</v>
      </c>
    </row>
    <row r="752" spans="15:16" x14ac:dyDescent="0.25">
      <c r="O752">
        <v>1.6282608695652174</v>
      </c>
      <c r="P752">
        <v>0.32500000000000001</v>
      </c>
    </row>
    <row r="753" spans="15:16" x14ac:dyDescent="0.25">
      <c r="O753">
        <v>1.6304347826086956</v>
      </c>
      <c r="P753">
        <v>0.32500000000000001</v>
      </c>
    </row>
    <row r="754" spans="15:16" x14ac:dyDescent="0.25">
      <c r="O754">
        <v>1.6326086956521739</v>
      </c>
      <c r="P754">
        <v>0.32500000000000001</v>
      </c>
    </row>
    <row r="755" spans="15:16" x14ac:dyDescent="0.25">
      <c r="O755">
        <v>1.6347826086956523</v>
      </c>
      <c r="P755">
        <v>0.32500000000000001</v>
      </c>
    </row>
    <row r="756" spans="15:16" x14ac:dyDescent="0.25">
      <c r="O756">
        <v>1.6369565217391304</v>
      </c>
      <c r="P756">
        <v>0.32500000000000001</v>
      </c>
    </row>
    <row r="757" spans="15:16" x14ac:dyDescent="0.25">
      <c r="O757">
        <v>1.6391304347826088</v>
      </c>
      <c r="P757">
        <v>0.32500000000000001</v>
      </c>
    </row>
    <row r="758" spans="15:16" x14ac:dyDescent="0.25">
      <c r="O758">
        <v>1.6413043478260869</v>
      </c>
      <c r="P758">
        <v>0.32500000000000001</v>
      </c>
    </row>
    <row r="759" spans="15:16" x14ac:dyDescent="0.25">
      <c r="O759">
        <v>1.6434782608695653</v>
      </c>
      <c r="P759">
        <v>0.32500000000000001</v>
      </c>
    </row>
    <row r="760" spans="15:16" x14ac:dyDescent="0.25">
      <c r="O760">
        <v>1.6456521739130434</v>
      </c>
      <c r="P760">
        <v>0.32500000000000001</v>
      </c>
    </row>
    <row r="761" spans="15:16" x14ac:dyDescent="0.25">
      <c r="O761">
        <v>1.6478260869565218</v>
      </c>
      <c r="P761">
        <v>0.32500000000000001</v>
      </c>
    </row>
    <row r="762" spans="15:16" x14ac:dyDescent="0.25">
      <c r="O762">
        <v>1.65</v>
      </c>
      <c r="P762">
        <v>0.32500000000000001</v>
      </c>
    </row>
    <row r="763" spans="15:16" x14ac:dyDescent="0.25">
      <c r="O763">
        <v>1.6521739130434783</v>
      </c>
      <c r="P763">
        <v>0.32500000000000001</v>
      </c>
    </row>
    <row r="764" spans="15:16" x14ac:dyDescent="0.25">
      <c r="O764">
        <v>1.6543478260869566</v>
      </c>
      <c r="P764">
        <v>0.32500000000000001</v>
      </c>
    </row>
    <row r="765" spans="15:16" x14ac:dyDescent="0.25">
      <c r="O765">
        <v>1.6565217391304348</v>
      </c>
      <c r="P765">
        <v>0.32500000000000001</v>
      </c>
    </row>
    <row r="766" spans="15:16" x14ac:dyDescent="0.25">
      <c r="O766">
        <v>1.6586956521739131</v>
      </c>
      <c r="P766">
        <v>0.32500000000000001</v>
      </c>
    </row>
    <row r="767" spans="15:16" x14ac:dyDescent="0.25">
      <c r="O767">
        <v>1.6608695652173913</v>
      </c>
      <c r="P767">
        <v>0.32500000000000001</v>
      </c>
    </row>
    <row r="768" spans="15:16" x14ac:dyDescent="0.25">
      <c r="O768">
        <v>1.6630434782608696</v>
      </c>
      <c r="P768">
        <v>0.32500000000000001</v>
      </c>
    </row>
    <row r="769" spans="15:16" x14ac:dyDescent="0.25">
      <c r="O769">
        <v>1.6652173913043478</v>
      </c>
      <c r="P769">
        <v>0.32500000000000001</v>
      </c>
    </row>
    <row r="770" spans="15:16" x14ac:dyDescent="0.25">
      <c r="O770">
        <v>1.6673913043478261</v>
      </c>
      <c r="P770">
        <v>0.32500000000000001</v>
      </c>
    </row>
    <row r="771" spans="15:16" x14ac:dyDescent="0.25">
      <c r="O771">
        <v>1.6695652173913043</v>
      </c>
      <c r="P771">
        <v>0.32500000000000001</v>
      </c>
    </row>
    <row r="772" spans="15:16" x14ac:dyDescent="0.25">
      <c r="O772">
        <v>1.6717391304347826</v>
      </c>
      <c r="P772">
        <v>0.32500000000000001</v>
      </c>
    </row>
    <row r="773" spans="15:16" x14ac:dyDescent="0.25">
      <c r="O773">
        <v>1.673913043478261</v>
      </c>
      <c r="P773">
        <v>0.32500000000000001</v>
      </c>
    </row>
    <row r="774" spans="15:16" x14ac:dyDescent="0.25">
      <c r="O774">
        <v>1.6760869565217391</v>
      </c>
      <c r="P774">
        <v>0.32500000000000001</v>
      </c>
    </row>
    <row r="775" spans="15:16" x14ac:dyDescent="0.25">
      <c r="O775">
        <v>1.6782608695652175</v>
      </c>
      <c r="P775">
        <v>0.32500000000000001</v>
      </c>
    </row>
    <row r="776" spans="15:16" x14ac:dyDescent="0.25">
      <c r="O776">
        <v>1.6804347826086956</v>
      </c>
      <c r="P776">
        <v>0.32500000000000001</v>
      </c>
    </row>
    <row r="777" spans="15:16" x14ac:dyDescent="0.25">
      <c r="O777">
        <v>1.682608695652174</v>
      </c>
      <c r="P777">
        <v>0.32500000000000001</v>
      </c>
    </row>
    <row r="778" spans="15:16" x14ac:dyDescent="0.25">
      <c r="O778">
        <v>1.6847826086956521</v>
      </c>
      <c r="P778">
        <v>0.32500000000000001</v>
      </c>
    </row>
    <row r="779" spans="15:16" x14ac:dyDescent="0.25">
      <c r="O779">
        <v>1.6869565217391305</v>
      </c>
      <c r="P779">
        <v>0.32500000000000001</v>
      </c>
    </row>
    <row r="780" spans="15:16" x14ac:dyDescent="0.25">
      <c r="O780">
        <v>1.6891304347826086</v>
      </c>
      <c r="P780">
        <v>0.32500000000000001</v>
      </c>
    </row>
    <row r="781" spans="15:16" x14ac:dyDescent="0.25">
      <c r="O781">
        <v>1.691304347826087</v>
      </c>
      <c r="P781">
        <v>0.32500000000000001</v>
      </c>
    </row>
    <row r="782" spans="15:16" x14ac:dyDescent="0.25">
      <c r="O782">
        <v>1.6934782608695653</v>
      </c>
      <c r="P782">
        <v>0.32500000000000001</v>
      </c>
    </row>
    <row r="783" spans="15:16" x14ac:dyDescent="0.25">
      <c r="O783">
        <v>1.6956521739130435</v>
      </c>
      <c r="P783">
        <v>0.32500000000000001</v>
      </c>
    </row>
    <row r="784" spans="15:16" x14ac:dyDescent="0.25">
      <c r="O784">
        <v>1.6978260869565218</v>
      </c>
      <c r="P784">
        <v>0.32500000000000001</v>
      </c>
    </row>
    <row r="785" spans="15:16" x14ac:dyDescent="0.25">
      <c r="O785">
        <v>1.7</v>
      </c>
      <c r="P785">
        <v>0.32500000000000001</v>
      </c>
    </row>
    <row r="786" spans="15:16" x14ac:dyDescent="0.25">
      <c r="O786">
        <v>1.7021739130434783</v>
      </c>
      <c r="P786">
        <v>0.32500000000000001</v>
      </c>
    </row>
    <row r="787" spans="15:16" x14ac:dyDescent="0.25">
      <c r="O787">
        <v>1.7043478260869565</v>
      </c>
      <c r="P787">
        <v>0.32500000000000001</v>
      </c>
    </row>
    <row r="788" spans="15:16" x14ac:dyDescent="0.25">
      <c r="O788">
        <v>1.7065217391304348</v>
      </c>
      <c r="P788">
        <v>0.32500000000000001</v>
      </c>
    </row>
    <row r="789" spans="15:16" x14ac:dyDescent="0.25">
      <c r="O789">
        <v>1.7086956521739129</v>
      </c>
      <c r="P789">
        <v>0.32500000000000001</v>
      </c>
    </row>
    <row r="790" spans="15:16" x14ac:dyDescent="0.25">
      <c r="O790">
        <v>1.7108695652173913</v>
      </c>
      <c r="P790">
        <v>0.32500000000000001</v>
      </c>
    </row>
    <row r="791" spans="15:16" x14ac:dyDescent="0.25">
      <c r="O791">
        <v>1.7130434782608697</v>
      </c>
      <c r="P791">
        <v>0.32500000000000001</v>
      </c>
    </row>
    <row r="792" spans="15:16" x14ac:dyDescent="0.25">
      <c r="O792">
        <v>1.7152173913043478</v>
      </c>
      <c r="P792">
        <v>0.32500000000000001</v>
      </c>
    </row>
    <row r="793" spans="15:16" x14ac:dyDescent="0.25">
      <c r="O793">
        <v>1.7173913043478262</v>
      </c>
      <c r="P793">
        <v>0.32500000000000001</v>
      </c>
    </row>
    <row r="794" spans="15:16" x14ac:dyDescent="0.25">
      <c r="O794">
        <v>1.7195652173913043</v>
      </c>
      <c r="P794">
        <v>0.32500000000000001</v>
      </c>
    </row>
    <row r="795" spans="15:16" x14ac:dyDescent="0.25">
      <c r="O795">
        <v>1.7217391304347827</v>
      </c>
      <c r="P795">
        <v>0.32500000000000001</v>
      </c>
    </row>
    <row r="796" spans="15:16" x14ac:dyDescent="0.25">
      <c r="O796">
        <v>1.7239130434782608</v>
      </c>
      <c r="P796">
        <v>0.32500000000000001</v>
      </c>
    </row>
    <row r="797" spans="15:16" x14ac:dyDescent="0.25">
      <c r="O797">
        <v>1.7260869565217392</v>
      </c>
      <c r="P797">
        <v>0.32500000000000001</v>
      </c>
    </row>
    <row r="798" spans="15:16" x14ac:dyDescent="0.25">
      <c r="O798">
        <v>1.7282608695652173</v>
      </c>
      <c r="P798">
        <v>0.32500000000000001</v>
      </c>
    </row>
    <row r="799" spans="15:16" x14ac:dyDescent="0.25">
      <c r="O799">
        <v>1.7304347826086957</v>
      </c>
      <c r="P799">
        <v>0.32500000000000001</v>
      </c>
    </row>
    <row r="800" spans="15:16" x14ac:dyDescent="0.25">
      <c r="O800">
        <v>1.732608695652174</v>
      </c>
      <c r="P800">
        <v>0.32500000000000001</v>
      </c>
    </row>
    <row r="801" spans="15:16" x14ac:dyDescent="0.25">
      <c r="O801">
        <v>1.7347826086956522</v>
      </c>
      <c r="P801">
        <v>0.32500000000000001</v>
      </c>
    </row>
    <row r="802" spans="15:16" x14ac:dyDescent="0.25">
      <c r="O802">
        <v>1.7369565217391305</v>
      </c>
      <c r="P802">
        <v>0.32500000000000001</v>
      </c>
    </row>
    <row r="803" spans="15:16" x14ac:dyDescent="0.25">
      <c r="O803">
        <v>1.7391304347826086</v>
      </c>
      <c r="P803">
        <v>0.32500000000000001</v>
      </c>
    </row>
    <row r="804" spans="15:16" x14ac:dyDescent="0.25">
      <c r="O804">
        <v>1.741304347826087</v>
      </c>
      <c r="P804">
        <v>0.32500000000000001</v>
      </c>
    </row>
    <row r="805" spans="15:16" x14ac:dyDescent="0.25">
      <c r="O805">
        <v>1.7434782608695651</v>
      </c>
      <c r="P805">
        <v>0.32500000000000001</v>
      </c>
    </row>
    <row r="806" spans="15:16" x14ac:dyDescent="0.25">
      <c r="O806">
        <v>1.7456521739130435</v>
      </c>
      <c r="P806">
        <v>0.32500000000000001</v>
      </c>
    </row>
    <row r="807" spans="15:16" x14ac:dyDescent="0.25">
      <c r="O807">
        <v>1.7478260869565216</v>
      </c>
      <c r="P807">
        <v>0.32500000000000001</v>
      </c>
    </row>
    <row r="808" spans="15:16" x14ac:dyDescent="0.25">
      <c r="O808">
        <v>1.75</v>
      </c>
      <c r="P808">
        <v>0.32500000000000001</v>
      </c>
    </row>
    <row r="809" spans="15:16" x14ac:dyDescent="0.25">
      <c r="O809">
        <v>1.7521739130434784</v>
      </c>
      <c r="P809">
        <v>0.32500000000000001</v>
      </c>
    </row>
    <row r="810" spans="15:16" x14ac:dyDescent="0.25">
      <c r="O810">
        <v>1.7543478260869565</v>
      </c>
      <c r="P810">
        <v>0.32500000000000001</v>
      </c>
    </row>
    <row r="811" spans="15:16" x14ac:dyDescent="0.25">
      <c r="O811">
        <v>1.7565217391304349</v>
      </c>
      <c r="P811">
        <v>0.32500000000000001</v>
      </c>
    </row>
    <row r="812" spans="15:16" x14ac:dyDescent="0.25">
      <c r="O812">
        <v>1.758695652173913</v>
      </c>
      <c r="P812">
        <v>0.32500000000000001</v>
      </c>
    </row>
    <row r="813" spans="15:16" x14ac:dyDescent="0.25">
      <c r="O813">
        <v>1.7608695652173914</v>
      </c>
      <c r="P813">
        <v>0.32500000000000001</v>
      </c>
    </row>
    <row r="814" spans="15:16" x14ac:dyDescent="0.25">
      <c r="O814">
        <v>1.7630434782608695</v>
      </c>
      <c r="P814">
        <v>0.32500000000000001</v>
      </c>
    </row>
    <row r="815" spans="15:16" x14ac:dyDescent="0.25">
      <c r="O815">
        <v>1.7652173913043478</v>
      </c>
      <c r="P815">
        <v>0.32500000000000001</v>
      </c>
    </row>
    <row r="816" spans="15:16" x14ac:dyDescent="0.25">
      <c r="O816">
        <v>1.767391304347826</v>
      </c>
      <c r="P816">
        <v>0.32500000000000001</v>
      </c>
    </row>
    <row r="817" spans="15:16" x14ac:dyDescent="0.25">
      <c r="O817">
        <v>1.7695652173913043</v>
      </c>
      <c r="P817">
        <v>0.32500000000000001</v>
      </c>
    </row>
    <row r="818" spans="15:16" x14ac:dyDescent="0.25">
      <c r="O818">
        <v>1.7717391304347827</v>
      </c>
      <c r="P818">
        <v>0.32500000000000001</v>
      </c>
    </row>
    <row r="819" spans="15:16" x14ac:dyDescent="0.25">
      <c r="O819">
        <v>1.7739130434782608</v>
      </c>
      <c r="P819">
        <v>0.32500000000000001</v>
      </c>
    </row>
    <row r="820" spans="15:16" x14ac:dyDescent="0.25">
      <c r="O820">
        <v>1.7760869565217392</v>
      </c>
      <c r="P820">
        <v>0.32500000000000001</v>
      </c>
    </row>
    <row r="821" spans="15:16" x14ac:dyDescent="0.25">
      <c r="O821">
        <v>1.7782608695652173</v>
      </c>
      <c r="P821">
        <v>0.32500000000000001</v>
      </c>
    </row>
    <row r="822" spans="15:16" x14ac:dyDescent="0.25">
      <c r="O822">
        <v>1.7804347826086957</v>
      </c>
      <c r="P822">
        <v>0.32500000000000001</v>
      </c>
    </row>
    <row r="823" spans="15:16" x14ac:dyDescent="0.25">
      <c r="O823">
        <v>1.7826086956521738</v>
      </c>
      <c r="P823">
        <v>0.32500000000000001</v>
      </c>
    </row>
    <row r="824" spans="15:16" x14ac:dyDescent="0.25">
      <c r="O824">
        <v>1.7847826086956522</v>
      </c>
      <c r="P824">
        <v>0.32500000000000001</v>
      </c>
    </row>
    <row r="825" spans="15:16" x14ac:dyDescent="0.25">
      <c r="O825">
        <v>1.7869565217391303</v>
      </c>
      <c r="P825">
        <v>0.32500000000000001</v>
      </c>
    </row>
    <row r="826" spans="15:16" x14ac:dyDescent="0.25">
      <c r="O826">
        <v>1.7891304347826087</v>
      </c>
      <c r="P826">
        <v>0.32500000000000001</v>
      </c>
    </row>
    <row r="827" spans="15:16" x14ac:dyDescent="0.25">
      <c r="O827">
        <v>1.7913043478260871</v>
      </c>
      <c r="P827">
        <v>0.32500000000000001</v>
      </c>
    </row>
    <row r="828" spans="15:16" x14ac:dyDescent="0.25">
      <c r="O828">
        <v>1.7934782608695652</v>
      </c>
      <c r="P828">
        <v>0.32500000000000001</v>
      </c>
    </row>
    <row r="829" spans="15:16" x14ac:dyDescent="0.25">
      <c r="O829">
        <v>1.7956521739130435</v>
      </c>
      <c r="P829">
        <v>0.32500000000000001</v>
      </c>
    </row>
    <row r="830" spans="15:16" x14ac:dyDescent="0.25">
      <c r="O830">
        <v>1.7978260869565217</v>
      </c>
      <c r="P830">
        <v>0.32500000000000001</v>
      </c>
    </row>
    <row r="831" spans="15:16" x14ac:dyDescent="0.25">
      <c r="O831">
        <v>1.8</v>
      </c>
      <c r="P831">
        <v>0.32500000000000001</v>
      </c>
    </row>
    <row r="832" spans="15:16" x14ac:dyDescent="0.25">
      <c r="O832">
        <v>1.8021739130434782</v>
      </c>
      <c r="P832">
        <v>0.32500000000000001</v>
      </c>
    </row>
    <row r="833" spans="15:16" x14ac:dyDescent="0.25">
      <c r="O833">
        <v>1.8043478260869565</v>
      </c>
      <c r="P833">
        <v>0.32500000000000001</v>
      </c>
    </row>
    <row r="834" spans="15:16" x14ac:dyDescent="0.25">
      <c r="O834">
        <v>1.8065217391304347</v>
      </c>
      <c r="P834">
        <v>0.32500000000000001</v>
      </c>
    </row>
    <row r="835" spans="15:16" x14ac:dyDescent="0.25">
      <c r="O835">
        <v>1.808695652173913</v>
      </c>
      <c r="P835">
        <v>0.32500000000000001</v>
      </c>
    </row>
    <row r="836" spans="15:16" x14ac:dyDescent="0.25">
      <c r="O836">
        <v>1.8108695652173914</v>
      </c>
      <c r="P836">
        <v>0.32500000000000001</v>
      </c>
    </row>
    <row r="837" spans="15:16" x14ac:dyDescent="0.25">
      <c r="O837">
        <v>1.8130434782608695</v>
      </c>
      <c r="P837">
        <v>0.32500000000000001</v>
      </c>
    </row>
    <row r="838" spans="15:16" x14ac:dyDescent="0.25">
      <c r="O838">
        <v>1.8152173913043479</v>
      </c>
      <c r="P838">
        <v>0.32500000000000001</v>
      </c>
    </row>
    <row r="839" spans="15:16" x14ac:dyDescent="0.25">
      <c r="O839">
        <v>1.817391304347826</v>
      </c>
      <c r="P839">
        <v>0.32500000000000001</v>
      </c>
    </row>
    <row r="840" spans="15:16" x14ac:dyDescent="0.25">
      <c r="O840">
        <v>1.8195652173913044</v>
      </c>
      <c r="P840">
        <v>0.32500000000000001</v>
      </c>
    </row>
    <row r="841" spans="15:16" x14ac:dyDescent="0.25">
      <c r="O841">
        <v>1.8217391304347825</v>
      </c>
      <c r="P841">
        <v>0.32500000000000001</v>
      </c>
    </row>
    <row r="842" spans="15:16" x14ac:dyDescent="0.25">
      <c r="O842">
        <v>1.8239130434782609</v>
      </c>
      <c r="P842">
        <v>0.32500000000000001</v>
      </c>
    </row>
    <row r="843" spans="15:16" x14ac:dyDescent="0.25">
      <c r="O843">
        <v>1.826086956521739</v>
      </c>
      <c r="P843">
        <v>0.32500000000000001</v>
      </c>
    </row>
    <row r="844" spans="15:16" x14ac:dyDescent="0.25">
      <c r="O844">
        <v>1.8282608695652174</v>
      </c>
      <c r="P844">
        <v>0.32500000000000001</v>
      </c>
    </row>
    <row r="845" spans="15:16" x14ac:dyDescent="0.25">
      <c r="O845">
        <v>1.8304347826086957</v>
      </c>
      <c r="P845">
        <v>0.32500000000000001</v>
      </c>
    </row>
    <row r="846" spans="15:16" x14ac:dyDescent="0.25">
      <c r="O846">
        <v>1.8326086956521739</v>
      </c>
      <c r="P846">
        <v>0.32500000000000001</v>
      </c>
    </row>
    <row r="847" spans="15:16" x14ac:dyDescent="0.25">
      <c r="O847">
        <v>1.8347826086956522</v>
      </c>
      <c r="P847">
        <v>0.32500000000000001</v>
      </c>
    </row>
    <row r="848" spans="15:16" x14ac:dyDescent="0.25">
      <c r="O848">
        <v>1.8369565217391304</v>
      </c>
      <c r="P848">
        <v>0.32500000000000001</v>
      </c>
    </row>
    <row r="849" spans="15:16" x14ac:dyDescent="0.25">
      <c r="O849">
        <v>1.8391304347826087</v>
      </c>
      <c r="P849">
        <v>0.32500000000000001</v>
      </c>
    </row>
    <row r="850" spans="15:16" x14ac:dyDescent="0.25">
      <c r="O850">
        <v>1.8413043478260869</v>
      </c>
      <c r="P850">
        <v>0.32500000000000001</v>
      </c>
    </row>
    <row r="851" spans="15:16" x14ac:dyDescent="0.25">
      <c r="O851">
        <v>1.8434782608695652</v>
      </c>
      <c r="P851">
        <v>0.32500000000000001</v>
      </c>
    </row>
    <row r="852" spans="15:16" x14ac:dyDescent="0.25">
      <c r="O852">
        <v>1.8456521739130434</v>
      </c>
      <c r="P852">
        <v>0.32500000000000001</v>
      </c>
    </row>
    <row r="853" spans="15:16" x14ac:dyDescent="0.25">
      <c r="O853">
        <v>1.8478260869565217</v>
      </c>
      <c r="P853">
        <v>0.32500000000000001</v>
      </c>
    </row>
    <row r="854" spans="15:16" x14ac:dyDescent="0.25">
      <c r="O854">
        <v>1.85</v>
      </c>
      <c r="P854">
        <v>0.32500000000000001</v>
      </c>
    </row>
    <row r="855" spans="15:16" x14ac:dyDescent="0.25">
      <c r="O855">
        <v>1.8521739130434782</v>
      </c>
      <c r="P855">
        <v>0.32500000000000001</v>
      </c>
    </row>
    <row r="856" spans="15:16" x14ac:dyDescent="0.25">
      <c r="O856">
        <v>1.8543478260869566</v>
      </c>
      <c r="P856">
        <v>0.32500000000000001</v>
      </c>
    </row>
    <row r="857" spans="15:16" x14ac:dyDescent="0.25">
      <c r="O857">
        <v>1.8565217391304347</v>
      </c>
      <c r="P857">
        <v>0.32500000000000001</v>
      </c>
    </row>
    <row r="858" spans="15:16" x14ac:dyDescent="0.25">
      <c r="O858">
        <v>1.8586956521739131</v>
      </c>
      <c r="P858">
        <v>0.32500000000000001</v>
      </c>
    </row>
    <row r="859" spans="15:16" x14ac:dyDescent="0.25">
      <c r="O859">
        <v>1.8608695652173912</v>
      </c>
      <c r="P859">
        <v>0.32500000000000001</v>
      </c>
    </row>
    <row r="860" spans="15:16" x14ac:dyDescent="0.25">
      <c r="O860">
        <v>1.8630434782608696</v>
      </c>
      <c r="P860">
        <v>0.32500000000000001</v>
      </c>
    </row>
    <row r="861" spans="15:16" x14ac:dyDescent="0.25">
      <c r="O861">
        <v>1.8652173913043477</v>
      </c>
      <c r="P861">
        <v>0.32500000000000001</v>
      </c>
    </row>
    <row r="862" spans="15:16" x14ac:dyDescent="0.25">
      <c r="O862">
        <v>1.8673913043478261</v>
      </c>
      <c r="P862">
        <v>0.32500000000000001</v>
      </c>
    </row>
    <row r="863" spans="15:16" x14ac:dyDescent="0.25">
      <c r="O863">
        <v>1.8695652173913044</v>
      </c>
      <c r="P863">
        <v>0.32500000000000001</v>
      </c>
    </row>
    <row r="864" spans="15:16" x14ac:dyDescent="0.25">
      <c r="O864">
        <v>1.8717391304347826</v>
      </c>
      <c r="P864">
        <v>0.32500000000000001</v>
      </c>
    </row>
    <row r="865" spans="15:16" x14ac:dyDescent="0.25">
      <c r="O865">
        <v>1.8739130434782609</v>
      </c>
      <c r="P865">
        <v>0.32500000000000001</v>
      </c>
    </row>
    <row r="866" spans="15:16" x14ac:dyDescent="0.25">
      <c r="O866">
        <v>1.8760869565217391</v>
      </c>
      <c r="P866">
        <v>0.32500000000000001</v>
      </c>
    </row>
    <row r="867" spans="15:16" x14ac:dyDescent="0.25">
      <c r="O867">
        <v>1.8782608695652174</v>
      </c>
      <c r="P867">
        <v>0.32500000000000001</v>
      </c>
    </row>
    <row r="868" spans="15:16" x14ac:dyDescent="0.25">
      <c r="O868">
        <v>1.8804347826086956</v>
      </c>
      <c r="P868">
        <v>0.32500000000000001</v>
      </c>
    </row>
    <row r="869" spans="15:16" x14ac:dyDescent="0.25">
      <c r="O869">
        <v>1.8826086956521739</v>
      </c>
      <c r="P869">
        <v>0.32500000000000001</v>
      </c>
    </row>
    <row r="870" spans="15:16" x14ac:dyDescent="0.25">
      <c r="O870">
        <v>1.8847826086956523</v>
      </c>
      <c r="P870">
        <v>0.32500000000000001</v>
      </c>
    </row>
    <row r="871" spans="15:16" x14ac:dyDescent="0.25">
      <c r="O871">
        <v>1.8869565217391304</v>
      </c>
      <c r="P871">
        <v>0.32500000000000001</v>
      </c>
    </row>
    <row r="872" spans="15:16" x14ac:dyDescent="0.25">
      <c r="O872">
        <v>1.8891304347826088</v>
      </c>
      <c r="P872">
        <v>0.32500000000000001</v>
      </c>
    </row>
    <row r="873" spans="15:16" x14ac:dyDescent="0.25">
      <c r="O873">
        <v>1.8913043478260869</v>
      </c>
      <c r="P873">
        <v>0.32500000000000001</v>
      </c>
    </row>
    <row r="874" spans="15:16" x14ac:dyDescent="0.25">
      <c r="O874">
        <v>1.8934782608695653</v>
      </c>
      <c r="P874">
        <v>0.32500000000000001</v>
      </c>
    </row>
    <row r="875" spans="15:16" x14ac:dyDescent="0.25">
      <c r="O875">
        <v>1.8956521739130434</v>
      </c>
      <c r="P875">
        <v>0.32500000000000001</v>
      </c>
    </row>
    <row r="876" spans="15:16" x14ac:dyDescent="0.25">
      <c r="O876">
        <v>1.8978260869565218</v>
      </c>
      <c r="P876">
        <v>0.32500000000000001</v>
      </c>
    </row>
    <row r="877" spans="15:16" x14ac:dyDescent="0.25">
      <c r="O877">
        <v>1.9</v>
      </c>
      <c r="P877">
        <v>0.32500000000000001</v>
      </c>
    </row>
    <row r="878" spans="15:16" x14ac:dyDescent="0.25">
      <c r="O878">
        <v>1.9021739130434783</v>
      </c>
      <c r="P878">
        <v>0.32500000000000001</v>
      </c>
    </row>
    <row r="879" spans="15:16" x14ac:dyDescent="0.25">
      <c r="O879">
        <v>1.9043478260869566</v>
      </c>
      <c r="P879">
        <v>0.32500000000000001</v>
      </c>
    </row>
    <row r="880" spans="15:16" x14ac:dyDescent="0.25">
      <c r="O880">
        <v>1.9065217391304348</v>
      </c>
      <c r="P880">
        <v>0.32500000000000001</v>
      </c>
    </row>
    <row r="881" spans="15:16" x14ac:dyDescent="0.25">
      <c r="O881">
        <v>1.9086956521739131</v>
      </c>
      <c r="P881">
        <v>0.32500000000000001</v>
      </c>
    </row>
    <row r="882" spans="15:16" x14ac:dyDescent="0.25">
      <c r="O882">
        <v>1.9108695652173913</v>
      </c>
      <c r="P882">
        <v>0.32500000000000001</v>
      </c>
    </row>
    <row r="883" spans="15:16" x14ac:dyDescent="0.25">
      <c r="O883">
        <v>1.9130434782608696</v>
      </c>
      <c r="P883">
        <v>0.32500000000000001</v>
      </c>
    </row>
    <row r="884" spans="15:16" x14ac:dyDescent="0.25">
      <c r="O884">
        <v>1.9152173913043478</v>
      </c>
      <c r="P884">
        <v>0.32500000000000001</v>
      </c>
    </row>
    <row r="885" spans="15:16" x14ac:dyDescent="0.25">
      <c r="O885">
        <v>1.9173913043478261</v>
      </c>
      <c r="P885">
        <v>0.32500000000000001</v>
      </c>
    </row>
    <row r="886" spans="15:16" x14ac:dyDescent="0.25">
      <c r="O886">
        <v>1.9195652173913043</v>
      </c>
      <c r="P886">
        <v>0.32500000000000001</v>
      </c>
    </row>
    <row r="887" spans="15:16" x14ac:dyDescent="0.25">
      <c r="O887">
        <v>1.9217391304347826</v>
      </c>
      <c r="P887">
        <v>0.32500000000000001</v>
      </c>
    </row>
    <row r="888" spans="15:16" x14ac:dyDescent="0.25">
      <c r="O888">
        <v>1.923913043478261</v>
      </c>
      <c r="P888">
        <v>0.32500000000000001</v>
      </c>
    </row>
    <row r="889" spans="15:16" x14ac:dyDescent="0.25">
      <c r="O889">
        <v>1.9260869565217391</v>
      </c>
      <c r="P889">
        <v>0.32500000000000001</v>
      </c>
    </row>
    <row r="890" spans="15:16" x14ac:dyDescent="0.25">
      <c r="O890">
        <v>1.9282608695652175</v>
      </c>
      <c r="P890">
        <v>0.32500000000000001</v>
      </c>
    </row>
    <row r="891" spans="15:16" x14ac:dyDescent="0.25">
      <c r="O891">
        <v>1.9304347826086956</v>
      </c>
      <c r="P891">
        <v>0.32500000000000001</v>
      </c>
    </row>
    <row r="892" spans="15:16" x14ac:dyDescent="0.25">
      <c r="O892">
        <v>1.932608695652174</v>
      </c>
      <c r="P892">
        <v>0.32500000000000001</v>
      </c>
    </row>
    <row r="893" spans="15:16" x14ac:dyDescent="0.25">
      <c r="O893">
        <v>1.9347826086956521</v>
      </c>
      <c r="P893">
        <v>0.32500000000000001</v>
      </c>
    </row>
    <row r="894" spans="15:16" x14ac:dyDescent="0.25">
      <c r="O894">
        <v>1.9369565217391305</v>
      </c>
      <c r="P894">
        <v>0.32500000000000001</v>
      </c>
    </row>
    <row r="895" spans="15:16" x14ac:dyDescent="0.25">
      <c r="O895">
        <v>1.9391304347826086</v>
      </c>
      <c r="P895">
        <v>0.32500000000000001</v>
      </c>
    </row>
    <row r="896" spans="15:16" x14ac:dyDescent="0.25">
      <c r="O896">
        <v>1.941304347826087</v>
      </c>
      <c r="P896">
        <v>0.32500000000000001</v>
      </c>
    </row>
    <row r="897" spans="15:16" x14ac:dyDescent="0.25">
      <c r="O897">
        <v>1.9434782608695653</v>
      </c>
      <c r="P897">
        <v>0.32500000000000001</v>
      </c>
    </row>
    <row r="898" spans="15:16" x14ac:dyDescent="0.25">
      <c r="O898">
        <v>1.9456521739130435</v>
      </c>
      <c r="P898">
        <v>0.32500000000000001</v>
      </c>
    </row>
    <row r="899" spans="15:16" x14ac:dyDescent="0.25">
      <c r="O899">
        <v>1.9478260869565218</v>
      </c>
      <c r="P899">
        <v>0.32500000000000001</v>
      </c>
    </row>
    <row r="900" spans="15:16" x14ac:dyDescent="0.25">
      <c r="O900">
        <v>1.95</v>
      </c>
      <c r="P900">
        <v>0.32500000000000001</v>
      </c>
    </row>
    <row r="901" spans="15:16" x14ac:dyDescent="0.25">
      <c r="O901">
        <v>1.9521739130434783</v>
      </c>
      <c r="P901">
        <v>0.32500000000000001</v>
      </c>
    </row>
    <row r="902" spans="15:16" x14ac:dyDescent="0.25">
      <c r="O902">
        <v>1.9543478260869565</v>
      </c>
      <c r="P902">
        <v>0.32500000000000001</v>
      </c>
    </row>
    <row r="903" spans="15:16" x14ac:dyDescent="0.25">
      <c r="O903">
        <v>1.9565217391304348</v>
      </c>
      <c r="P903">
        <v>0.32500000000000001</v>
      </c>
    </row>
    <row r="904" spans="15:16" x14ac:dyDescent="0.25">
      <c r="O904">
        <v>1.9586956521739129</v>
      </c>
      <c r="P904">
        <v>0.32500000000000001</v>
      </c>
    </row>
    <row r="905" spans="15:16" x14ac:dyDescent="0.25">
      <c r="O905">
        <v>1.9608695652173913</v>
      </c>
      <c r="P905">
        <v>0.32500000000000001</v>
      </c>
    </row>
    <row r="906" spans="15:16" x14ac:dyDescent="0.25">
      <c r="O906">
        <v>1.9630434782608697</v>
      </c>
      <c r="P906">
        <v>0.32500000000000001</v>
      </c>
    </row>
    <row r="907" spans="15:16" x14ac:dyDescent="0.25">
      <c r="O907">
        <v>1.9652173913043478</v>
      </c>
      <c r="P907">
        <v>0.32500000000000001</v>
      </c>
    </row>
    <row r="908" spans="15:16" x14ac:dyDescent="0.25">
      <c r="O908">
        <v>1.9673913043478262</v>
      </c>
      <c r="P908">
        <v>0.32500000000000001</v>
      </c>
    </row>
    <row r="909" spans="15:16" x14ac:dyDescent="0.25">
      <c r="O909">
        <v>1.9695652173913043</v>
      </c>
      <c r="P909">
        <v>0.32500000000000001</v>
      </c>
    </row>
    <row r="910" spans="15:16" x14ac:dyDescent="0.25">
      <c r="O910">
        <v>1.9717391304347827</v>
      </c>
      <c r="P910">
        <v>0.32500000000000001</v>
      </c>
    </row>
    <row r="911" spans="15:16" x14ac:dyDescent="0.25">
      <c r="O911">
        <v>1.9739130434782608</v>
      </c>
      <c r="P911">
        <v>0.32500000000000001</v>
      </c>
    </row>
    <row r="912" spans="15:16" x14ac:dyDescent="0.25">
      <c r="O912">
        <v>1.9760869565217392</v>
      </c>
      <c r="P912">
        <v>0.32500000000000001</v>
      </c>
    </row>
    <row r="913" spans="15:16" x14ac:dyDescent="0.25">
      <c r="O913">
        <v>1.9782608695652173</v>
      </c>
      <c r="P913">
        <v>0.32500000000000001</v>
      </c>
    </row>
    <row r="914" spans="15:16" x14ac:dyDescent="0.25">
      <c r="O914">
        <v>1.9804347826086957</v>
      </c>
      <c r="P914">
        <v>0.32500000000000001</v>
      </c>
    </row>
    <row r="915" spans="15:16" x14ac:dyDescent="0.25">
      <c r="O915">
        <v>1.982608695652174</v>
      </c>
      <c r="P915">
        <v>0.32500000000000001</v>
      </c>
    </row>
    <row r="916" spans="15:16" x14ac:dyDescent="0.25">
      <c r="O916">
        <v>1.9847826086956522</v>
      </c>
      <c r="P916">
        <v>0.32500000000000001</v>
      </c>
    </row>
    <row r="917" spans="15:16" x14ac:dyDescent="0.25">
      <c r="O917">
        <v>1.9869565217391305</v>
      </c>
      <c r="P917">
        <v>0.32500000000000001</v>
      </c>
    </row>
    <row r="918" spans="15:16" x14ac:dyDescent="0.25">
      <c r="O918">
        <v>1.9891304347826086</v>
      </c>
      <c r="P918">
        <v>0.32500000000000001</v>
      </c>
    </row>
    <row r="919" spans="15:16" x14ac:dyDescent="0.25">
      <c r="O919">
        <v>1.991304347826087</v>
      </c>
      <c r="P919">
        <v>0.32500000000000001</v>
      </c>
    </row>
    <row r="920" spans="15:16" x14ac:dyDescent="0.25">
      <c r="O920">
        <v>1.9934782608695651</v>
      </c>
      <c r="P920">
        <v>0.32500000000000001</v>
      </c>
    </row>
    <row r="921" spans="15:16" x14ac:dyDescent="0.25">
      <c r="O921">
        <v>1.9956521739130435</v>
      </c>
      <c r="P921">
        <v>0.32500000000000001</v>
      </c>
    </row>
    <row r="922" spans="15:16" x14ac:dyDescent="0.25">
      <c r="O922">
        <v>1.9978260869565216</v>
      </c>
      <c r="P922">
        <v>0.32500000000000001</v>
      </c>
    </row>
    <row r="923" spans="15:16" x14ac:dyDescent="0.25">
      <c r="O923">
        <v>2</v>
      </c>
      <c r="P923">
        <v>0.32500000000000001</v>
      </c>
    </row>
    <row r="924" spans="15:16" x14ac:dyDescent="0.25">
      <c r="O924">
        <v>2.0021739130434781</v>
      </c>
      <c r="P924">
        <v>0.32500000000000001</v>
      </c>
    </row>
    <row r="925" spans="15:16" x14ac:dyDescent="0.25">
      <c r="O925">
        <v>2.0043478260869567</v>
      </c>
      <c r="P925">
        <v>0.32500000000000001</v>
      </c>
    </row>
    <row r="926" spans="15:16" x14ac:dyDescent="0.25">
      <c r="O926">
        <v>2.0065217391304349</v>
      </c>
      <c r="P926">
        <v>0.32500000000000001</v>
      </c>
    </row>
    <row r="927" spans="15:16" x14ac:dyDescent="0.25">
      <c r="O927">
        <v>2.008695652173913</v>
      </c>
      <c r="P927">
        <v>0.32500000000000001</v>
      </c>
    </row>
    <row r="928" spans="15:16" x14ac:dyDescent="0.25">
      <c r="O928">
        <v>2.0108695652173911</v>
      </c>
      <c r="P928">
        <v>0.32500000000000001</v>
      </c>
    </row>
    <row r="929" spans="15:16" x14ac:dyDescent="0.25">
      <c r="O929">
        <v>2.0130434782608697</v>
      </c>
      <c r="P929">
        <v>0.32500000000000001</v>
      </c>
    </row>
    <row r="930" spans="15:16" x14ac:dyDescent="0.25">
      <c r="O930">
        <v>2.0152173913043478</v>
      </c>
      <c r="P930">
        <v>0.32500000000000001</v>
      </c>
    </row>
    <row r="931" spans="15:16" x14ac:dyDescent="0.25">
      <c r="O931">
        <v>2.017391304347826</v>
      </c>
      <c r="P931">
        <v>0.32500000000000001</v>
      </c>
    </row>
    <row r="932" spans="15:16" x14ac:dyDescent="0.25">
      <c r="O932">
        <v>2.0195652173913046</v>
      </c>
      <c r="P932">
        <v>0.32500000000000001</v>
      </c>
    </row>
    <row r="933" spans="15:16" x14ac:dyDescent="0.25">
      <c r="O933">
        <v>2.0217391304347827</v>
      </c>
      <c r="P933">
        <v>0.32500000000000001</v>
      </c>
    </row>
    <row r="934" spans="15:16" x14ac:dyDescent="0.25">
      <c r="O934">
        <v>2.0239130434782608</v>
      </c>
      <c r="P934">
        <v>0.32500000000000001</v>
      </c>
    </row>
    <row r="935" spans="15:16" x14ac:dyDescent="0.25">
      <c r="O935">
        <v>2.026086956521739</v>
      </c>
      <c r="P935">
        <v>0.32500000000000001</v>
      </c>
    </row>
    <row r="936" spans="15:16" x14ac:dyDescent="0.25">
      <c r="O936">
        <v>2.0282608695652176</v>
      </c>
      <c r="P936">
        <v>0.32500000000000001</v>
      </c>
    </row>
    <row r="937" spans="15:16" x14ac:dyDescent="0.25">
      <c r="O937">
        <v>2.0304347826086957</v>
      </c>
      <c r="P937">
        <v>0.32500000000000001</v>
      </c>
    </row>
    <row r="938" spans="15:16" x14ac:dyDescent="0.25">
      <c r="O938">
        <v>2.0326086956521738</v>
      </c>
      <c r="P938">
        <v>0.32500000000000001</v>
      </c>
    </row>
    <row r="939" spans="15:16" x14ac:dyDescent="0.25">
      <c r="O939">
        <v>2.034782608695652</v>
      </c>
      <c r="P939">
        <v>0.32500000000000001</v>
      </c>
    </row>
    <row r="940" spans="15:16" x14ac:dyDescent="0.25">
      <c r="O940">
        <v>2.0369565217391306</v>
      </c>
      <c r="P940">
        <v>0.32500000000000001</v>
      </c>
    </row>
    <row r="941" spans="15:16" x14ac:dyDescent="0.25">
      <c r="O941">
        <v>2.0391304347826087</v>
      </c>
      <c r="P941">
        <v>0.32500000000000001</v>
      </c>
    </row>
    <row r="942" spans="15:16" x14ac:dyDescent="0.25">
      <c r="O942">
        <v>2.0413043478260868</v>
      </c>
      <c r="P942">
        <v>0.32500000000000001</v>
      </c>
    </row>
    <row r="943" spans="15:16" x14ac:dyDescent="0.25">
      <c r="O943">
        <v>2.0434782608695654</v>
      </c>
      <c r="P943">
        <v>0.32500000000000001</v>
      </c>
    </row>
    <row r="944" spans="15:16" x14ac:dyDescent="0.25">
      <c r="O944">
        <v>2.0456521739130435</v>
      </c>
      <c r="P944">
        <v>0.32500000000000001</v>
      </c>
    </row>
    <row r="945" spans="15:16" x14ac:dyDescent="0.25">
      <c r="O945">
        <v>2.0478260869565217</v>
      </c>
      <c r="P945">
        <v>0.32500000000000001</v>
      </c>
    </row>
    <row r="946" spans="15:16" x14ac:dyDescent="0.25">
      <c r="O946">
        <v>2.0499999999999998</v>
      </c>
      <c r="P946">
        <v>0.32500000000000001</v>
      </c>
    </row>
    <row r="947" spans="15:16" x14ac:dyDescent="0.25">
      <c r="O947">
        <v>2.0521739130434784</v>
      </c>
      <c r="P947">
        <v>0.32500000000000001</v>
      </c>
    </row>
    <row r="948" spans="15:16" x14ac:dyDescent="0.25">
      <c r="O948">
        <v>2.0543478260869565</v>
      </c>
      <c r="P948">
        <v>0.32500000000000001</v>
      </c>
    </row>
    <row r="949" spans="15:16" x14ac:dyDescent="0.25">
      <c r="O949">
        <v>2.0565217391304347</v>
      </c>
      <c r="P949">
        <v>0.32500000000000001</v>
      </c>
    </row>
    <row r="950" spans="15:16" x14ac:dyDescent="0.25">
      <c r="O950">
        <v>2.0586956521739133</v>
      </c>
      <c r="P950">
        <v>0.32500000000000001</v>
      </c>
    </row>
    <row r="951" spans="15:16" x14ac:dyDescent="0.25">
      <c r="O951">
        <v>2.0608695652173914</v>
      </c>
      <c r="P951">
        <v>0.32500000000000001</v>
      </c>
    </row>
    <row r="952" spans="15:16" x14ac:dyDescent="0.25">
      <c r="O952">
        <v>2.0630434782608695</v>
      </c>
      <c r="P952">
        <v>0.32500000000000001</v>
      </c>
    </row>
    <row r="953" spans="15:16" x14ac:dyDescent="0.25">
      <c r="O953">
        <v>2.0652173913043477</v>
      </c>
      <c r="P953">
        <v>0.32500000000000001</v>
      </c>
    </row>
    <row r="954" spans="15:16" x14ac:dyDescent="0.25">
      <c r="O954">
        <v>2.0673913043478263</v>
      </c>
      <c r="P954">
        <v>0.32500000000000001</v>
      </c>
    </row>
    <row r="955" spans="15:16" x14ac:dyDescent="0.25">
      <c r="O955">
        <v>2.0695652173913044</v>
      </c>
      <c r="P955">
        <v>0.32500000000000001</v>
      </c>
    </row>
    <row r="956" spans="15:16" x14ac:dyDescent="0.25">
      <c r="O956">
        <v>2.0717391304347825</v>
      </c>
      <c r="P956">
        <v>0.32500000000000001</v>
      </c>
    </row>
    <row r="957" spans="15:16" x14ac:dyDescent="0.25">
      <c r="O957">
        <v>2.0739130434782607</v>
      </c>
      <c r="P957">
        <v>0.32500000000000001</v>
      </c>
    </row>
    <row r="958" spans="15:16" x14ac:dyDescent="0.25">
      <c r="O958">
        <v>2.0760869565217392</v>
      </c>
      <c r="P958">
        <v>0.32500000000000001</v>
      </c>
    </row>
    <row r="959" spans="15:16" x14ac:dyDescent="0.25">
      <c r="O959">
        <v>2.0782608695652174</v>
      </c>
      <c r="P959">
        <v>0.32500000000000001</v>
      </c>
    </row>
    <row r="960" spans="15:16" x14ac:dyDescent="0.25">
      <c r="O960">
        <v>2.0804347826086955</v>
      </c>
      <c r="P960">
        <v>0.32500000000000001</v>
      </c>
    </row>
    <row r="961" spans="15:16" x14ac:dyDescent="0.25">
      <c r="O961">
        <v>2.0826086956521741</v>
      </c>
      <c r="P961">
        <v>0.32500000000000001</v>
      </c>
    </row>
    <row r="962" spans="15:16" x14ac:dyDescent="0.25">
      <c r="O962">
        <v>2.0847826086956522</v>
      </c>
      <c r="P962">
        <v>0.32500000000000001</v>
      </c>
    </row>
    <row r="963" spans="15:16" x14ac:dyDescent="0.25">
      <c r="O963">
        <v>2.0869565217391304</v>
      </c>
      <c r="P963">
        <v>0.32500000000000001</v>
      </c>
    </row>
    <row r="964" spans="15:16" x14ac:dyDescent="0.25">
      <c r="O964">
        <v>2.0891304347826085</v>
      </c>
      <c r="P964">
        <v>0.32500000000000001</v>
      </c>
    </row>
    <row r="965" spans="15:16" x14ac:dyDescent="0.25">
      <c r="O965">
        <v>2.0913043478260871</v>
      </c>
      <c r="P965">
        <v>0.32500000000000001</v>
      </c>
    </row>
    <row r="966" spans="15:16" x14ac:dyDescent="0.25">
      <c r="O966">
        <v>2.0934782608695652</v>
      </c>
      <c r="P966">
        <v>0.32500000000000001</v>
      </c>
    </row>
    <row r="967" spans="15:16" x14ac:dyDescent="0.25">
      <c r="O967">
        <v>2.0956521739130434</v>
      </c>
      <c r="P967">
        <v>0.32500000000000001</v>
      </c>
    </row>
    <row r="968" spans="15:16" x14ac:dyDescent="0.25">
      <c r="O968">
        <v>2.097826086956522</v>
      </c>
      <c r="P968">
        <v>0.32500000000000001</v>
      </c>
    </row>
    <row r="969" spans="15:16" x14ac:dyDescent="0.25">
      <c r="O969">
        <v>2.1</v>
      </c>
      <c r="P969">
        <v>0.32500000000000001</v>
      </c>
    </row>
    <row r="970" spans="15:16" x14ac:dyDescent="0.25">
      <c r="O970">
        <v>2.1021739130434782</v>
      </c>
      <c r="P970">
        <v>0.32500000000000001</v>
      </c>
    </row>
    <row r="971" spans="15:16" x14ac:dyDescent="0.25">
      <c r="O971">
        <v>2.1043478260869564</v>
      </c>
      <c r="P971">
        <v>0.32500000000000001</v>
      </c>
    </row>
    <row r="972" spans="15:16" x14ac:dyDescent="0.25">
      <c r="O972">
        <v>2.1065217391304349</v>
      </c>
      <c r="P972">
        <v>0.32500000000000001</v>
      </c>
    </row>
    <row r="973" spans="15:16" x14ac:dyDescent="0.25">
      <c r="O973">
        <v>2.1086956521739131</v>
      </c>
      <c r="P973">
        <v>0.32500000000000001</v>
      </c>
    </row>
    <row r="974" spans="15:16" x14ac:dyDescent="0.25">
      <c r="O974">
        <v>2.1108695652173912</v>
      </c>
      <c r="P974">
        <v>0.32500000000000001</v>
      </c>
    </row>
    <row r="975" spans="15:16" x14ac:dyDescent="0.25">
      <c r="O975">
        <v>2.1130434782608694</v>
      </c>
      <c r="P975">
        <v>0.32500000000000001</v>
      </c>
    </row>
    <row r="976" spans="15:16" x14ac:dyDescent="0.25">
      <c r="O976">
        <v>2.1152173913043479</v>
      </c>
      <c r="P976">
        <v>0.32500000000000001</v>
      </c>
    </row>
    <row r="977" spans="15:16" x14ac:dyDescent="0.25">
      <c r="O977">
        <v>2.1173913043478261</v>
      </c>
      <c r="P977">
        <v>0.32500000000000001</v>
      </c>
    </row>
    <row r="978" spans="15:16" x14ac:dyDescent="0.25">
      <c r="O978">
        <v>2.1195652173913042</v>
      </c>
      <c r="P978">
        <v>0.32500000000000001</v>
      </c>
    </row>
    <row r="979" spans="15:16" x14ac:dyDescent="0.25">
      <c r="O979">
        <v>2.1217391304347828</v>
      </c>
      <c r="P979">
        <v>0.32500000000000001</v>
      </c>
    </row>
    <row r="980" spans="15:16" x14ac:dyDescent="0.25">
      <c r="O980">
        <v>2.1239130434782609</v>
      </c>
      <c r="P980">
        <v>0.32500000000000001</v>
      </c>
    </row>
    <row r="981" spans="15:16" x14ac:dyDescent="0.25">
      <c r="O981">
        <v>2.1260869565217391</v>
      </c>
      <c r="P981">
        <v>0.32500000000000001</v>
      </c>
    </row>
    <row r="982" spans="15:16" x14ac:dyDescent="0.25">
      <c r="O982">
        <v>2.1282608695652172</v>
      </c>
      <c r="P982">
        <v>0.32500000000000001</v>
      </c>
    </row>
    <row r="983" spans="15:16" x14ac:dyDescent="0.25">
      <c r="O983">
        <v>2.1304347826086958</v>
      </c>
      <c r="P983">
        <v>0.32500000000000001</v>
      </c>
    </row>
    <row r="984" spans="15:16" x14ac:dyDescent="0.25">
      <c r="O984">
        <v>2.1326086956521739</v>
      </c>
      <c r="P984">
        <v>0.32500000000000001</v>
      </c>
    </row>
    <row r="985" spans="15:16" x14ac:dyDescent="0.25">
      <c r="O985">
        <v>2.1347826086956521</v>
      </c>
      <c r="P985">
        <v>0.32500000000000001</v>
      </c>
    </row>
    <row r="986" spans="15:16" x14ac:dyDescent="0.25">
      <c r="O986">
        <v>2.1369565217391306</v>
      </c>
      <c r="P986">
        <v>0.32500000000000001</v>
      </c>
    </row>
    <row r="987" spans="15:16" x14ac:dyDescent="0.25">
      <c r="O987">
        <v>2.1391304347826088</v>
      </c>
      <c r="P987">
        <v>0.32500000000000001</v>
      </c>
    </row>
    <row r="988" spans="15:16" x14ac:dyDescent="0.25">
      <c r="O988">
        <v>2.1413043478260869</v>
      </c>
      <c r="P988">
        <v>0.32500000000000001</v>
      </c>
    </row>
    <row r="989" spans="15:16" x14ac:dyDescent="0.25">
      <c r="O989">
        <v>2.1434782608695651</v>
      </c>
      <c r="P989">
        <v>0.32500000000000001</v>
      </c>
    </row>
    <row r="990" spans="15:16" x14ac:dyDescent="0.25">
      <c r="O990">
        <v>2.1456521739130436</v>
      </c>
      <c r="P990">
        <v>0.32500000000000001</v>
      </c>
    </row>
    <row r="991" spans="15:16" x14ac:dyDescent="0.25">
      <c r="O991">
        <v>2.1478260869565218</v>
      </c>
      <c r="P991">
        <v>0.32500000000000001</v>
      </c>
    </row>
    <row r="992" spans="15:16" x14ac:dyDescent="0.25">
      <c r="O992">
        <v>2.15</v>
      </c>
      <c r="P992">
        <v>0.32500000000000001</v>
      </c>
    </row>
    <row r="993" spans="15:16" x14ac:dyDescent="0.25">
      <c r="O993">
        <v>2.152173913043478</v>
      </c>
      <c r="P993">
        <v>0.32500000000000001</v>
      </c>
    </row>
    <row r="994" spans="15:16" x14ac:dyDescent="0.25">
      <c r="O994">
        <v>2.1543478260869566</v>
      </c>
      <c r="P994">
        <v>0.32500000000000001</v>
      </c>
    </row>
    <row r="995" spans="15:16" x14ac:dyDescent="0.25">
      <c r="O995">
        <v>2.1565217391304348</v>
      </c>
      <c r="P995">
        <v>0.32500000000000001</v>
      </c>
    </row>
    <row r="996" spans="15:16" x14ac:dyDescent="0.25">
      <c r="O996">
        <v>2.1586956521739129</v>
      </c>
      <c r="P996">
        <v>0.32500000000000001</v>
      </c>
    </row>
    <row r="997" spans="15:16" x14ac:dyDescent="0.25">
      <c r="O997">
        <v>2.1608695652173915</v>
      </c>
      <c r="P997">
        <v>0.32500000000000001</v>
      </c>
    </row>
    <row r="998" spans="15:16" x14ac:dyDescent="0.25">
      <c r="O998">
        <v>2.1630434782608696</v>
      </c>
      <c r="P998">
        <v>0.32500000000000001</v>
      </c>
    </row>
    <row r="999" spans="15:16" x14ac:dyDescent="0.25">
      <c r="O999">
        <v>2.1652173913043478</v>
      </c>
      <c r="P999">
        <v>0.32500000000000001</v>
      </c>
    </row>
    <row r="1000" spans="15:16" x14ac:dyDescent="0.25">
      <c r="O1000">
        <v>2.1673913043478259</v>
      </c>
      <c r="P1000">
        <v>0.32500000000000001</v>
      </c>
    </row>
    <row r="1001" spans="15:16" x14ac:dyDescent="0.25">
      <c r="O1001">
        <v>2.1695652173913045</v>
      </c>
      <c r="P1001">
        <v>0.32500000000000001</v>
      </c>
    </row>
    <row r="1002" spans="15:16" x14ac:dyDescent="0.25">
      <c r="O1002">
        <v>2.1717391304347826</v>
      </c>
      <c r="P1002">
        <v>0.32500000000000001</v>
      </c>
    </row>
    <row r="1003" spans="15:16" x14ac:dyDescent="0.25">
      <c r="O1003">
        <v>2.1739130434782608</v>
      </c>
      <c r="P1003">
        <v>0.32500000000000001</v>
      </c>
    </row>
    <row r="1004" spans="15:16" x14ac:dyDescent="0.25">
      <c r="O1004">
        <v>2.1760869565217393</v>
      </c>
      <c r="P1004">
        <v>0.32500000000000001</v>
      </c>
    </row>
    <row r="1005" spans="15:16" x14ac:dyDescent="0.25">
      <c r="O1005">
        <v>2.1782608695652175</v>
      </c>
      <c r="P1005">
        <v>0.32500000000000001</v>
      </c>
    </row>
    <row r="1006" spans="15:16" x14ac:dyDescent="0.25">
      <c r="O1006">
        <v>2.1804347826086956</v>
      </c>
      <c r="P1006">
        <v>0.32500000000000001</v>
      </c>
    </row>
    <row r="1007" spans="15:16" x14ac:dyDescent="0.25">
      <c r="O1007">
        <v>2.1826086956521737</v>
      </c>
      <c r="P1007">
        <v>0.32500000000000001</v>
      </c>
    </row>
    <row r="1008" spans="15:16" x14ac:dyDescent="0.25">
      <c r="O1008">
        <v>2.1847826086956523</v>
      </c>
      <c r="P1008">
        <v>0.32500000000000001</v>
      </c>
    </row>
    <row r="1009" spans="15:16" x14ac:dyDescent="0.25">
      <c r="O1009">
        <v>2.1869565217391305</v>
      </c>
      <c r="P1009">
        <v>0.32500000000000001</v>
      </c>
    </row>
    <row r="1010" spans="15:16" x14ac:dyDescent="0.25">
      <c r="O1010">
        <v>2.1891304347826086</v>
      </c>
      <c r="P1010">
        <v>0.32500000000000001</v>
      </c>
    </row>
    <row r="1011" spans="15:16" x14ac:dyDescent="0.25">
      <c r="O1011">
        <v>2.1913043478260867</v>
      </c>
      <c r="P1011">
        <v>0.32500000000000001</v>
      </c>
    </row>
    <row r="1012" spans="15:16" x14ac:dyDescent="0.25">
      <c r="O1012">
        <v>2.1934782608695653</v>
      </c>
      <c r="P1012">
        <v>0.32500000000000001</v>
      </c>
    </row>
    <row r="1013" spans="15:16" x14ac:dyDescent="0.25">
      <c r="O1013">
        <v>2.1956521739130435</v>
      </c>
      <c r="P1013">
        <v>0.32500000000000001</v>
      </c>
    </row>
    <row r="1014" spans="15:16" x14ac:dyDescent="0.25">
      <c r="O1014">
        <v>2.1978260869565216</v>
      </c>
      <c r="P1014">
        <v>0.32500000000000001</v>
      </c>
    </row>
    <row r="1015" spans="15:16" x14ac:dyDescent="0.25">
      <c r="O1015">
        <v>2.2000000000000002</v>
      </c>
      <c r="P1015">
        <v>0.32500000000000001</v>
      </c>
    </row>
    <row r="1016" spans="15:16" x14ac:dyDescent="0.25">
      <c r="O1016">
        <v>2.2021739130434783</v>
      </c>
      <c r="P1016">
        <v>0.32500000000000001</v>
      </c>
    </row>
    <row r="1017" spans="15:16" x14ac:dyDescent="0.25">
      <c r="O1017">
        <v>2.2043478260869565</v>
      </c>
      <c r="P1017">
        <v>0.32500000000000001</v>
      </c>
    </row>
    <row r="1018" spans="15:16" x14ac:dyDescent="0.25">
      <c r="O1018">
        <v>2.2065217391304346</v>
      </c>
      <c r="P1018">
        <v>0.32500000000000001</v>
      </c>
    </row>
    <row r="1019" spans="15:16" x14ac:dyDescent="0.25">
      <c r="O1019">
        <v>2.2086956521739132</v>
      </c>
      <c r="P1019">
        <v>0.32500000000000001</v>
      </c>
    </row>
    <row r="1020" spans="15:16" x14ac:dyDescent="0.25">
      <c r="O1020">
        <v>2.2108695652173913</v>
      </c>
      <c r="P1020">
        <v>0.32500000000000001</v>
      </c>
    </row>
    <row r="1021" spans="15:16" x14ac:dyDescent="0.25">
      <c r="O1021">
        <v>2.2130434782608694</v>
      </c>
      <c r="P1021">
        <v>0.32500000000000001</v>
      </c>
    </row>
    <row r="1022" spans="15:16" x14ac:dyDescent="0.25">
      <c r="O1022">
        <v>2.215217391304348</v>
      </c>
      <c r="P1022">
        <v>0.32500000000000001</v>
      </c>
    </row>
    <row r="1023" spans="15:16" x14ac:dyDescent="0.25">
      <c r="O1023">
        <v>2.2173913043478262</v>
      </c>
      <c r="P1023">
        <v>0.32500000000000001</v>
      </c>
    </row>
    <row r="1024" spans="15:16" x14ac:dyDescent="0.25">
      <c r="O1024">
        <v>2.2195652173913043</v>
      </c>
      <c r="P1024">
        <v>0.32500000000000001</v>
      </c>
    </row>
    <row r="1025" spans="15:16" x14ac:dyDescent="0.25">
      <c r="O1025">
        <v>2.2217391304347824</v>
      </c>
      <c r="P1025">
        <v>0.32500000000000001</v>
      </c>
    </row>
    <row r="1026" spans="15:16" x14ac:dyDescent="0.25">
      <c r="O1026">
        <v>2.223913043478261</v>
      </c>
      <c r="P1026">
        <v>0.32500000000000001</v>
      </c>
    </row>
    <row r="1027" spans="15:16" x14ac:dyDescent="0.25">
      <c r="O1027">
        <v>2.2260869565217392</v>
      </c>
      <c r="P1027">
        <v>0.32500000000000001</v>
      </c>
    </row>
    <row r="1028" spans="15:16" x14ac:dyDescent="0.25">
      <c r="O1028">
        <v>2.2282608695652173</v>
      </c>
      <c r="P1028">
        <v>0.32500000000000001</v>
      </c>
    </row>
    <row r="1029" spans="15:16" x14ac:dyDescent="0.25">
      <c r="O1029">
        <v>2.2304347826086954</v>
      </c>
      <c r="P1029">
        <v>0.32500000000000001</v>
      </c>
    </row>
    <row r="1030" spans="15:16" x14ac:dyDescent="0.25">
      <c r="O1030">
        <v>2.232608695652174</v>
      </c>
      <c r="P1030">
        <v>0.32500000000000001</v>
      </c>
    </row>
    <row r="1031" spans="15:16" x14ac:dyDescent="0.25">
      <c r="O1031">
        <v>2.2347826086956522</v>
      </c>
      <c r="P1031">
        <v>0.32500000000000001</v>
      </c>
    </row>
    <row r="1032" spans="15:16" x14ac:dyDescent="0.25">
      <c r="O1032">
        <v>2.2369565217391303</v>
      </c>
      <c r="P1032">
        <v>0.32500000000000001</v>
      </c>
    </row>
    <row r="1033" spans="15:16" x14ac:dyDescent="0.25">
      <c r="O1033">
        <v>2.2391304347826089</v>
      </c>
      <c r="P1033">
        <v>0.32500000000000001</v>
      </c>
    </row>
    <row r="1034" spans="15:16" x14ac:dyDescent="0.25">
      <c r="O1034">
        <v>2.241304347826087</v>
      </c>
      <c r="P1034">
        <v>0.32500000000000001</v>
      </c>
    </row>
    <row r="1035" spans="15:16" x14ac:dyDescent="0.25">
      <c r="O1035">
        <v>2.2434782608695651</v>
      </c>
      <c r="P1035">
        <v>0.32500000000000001</v>
      </c>
    </row>
    <row r="1036" spans="15:16" x14ac:dyDescent="0.25">
      <c r="O1036">
        <v>2.2456521739130433</v>
      </c>
      <c r="P1036">
        <v>0.32500000000000001</v>
      </c>
    </row>
    <row r="1037" spans="15:16" x14ac:dyDescent="0.25">
      <c r="O1037">
        <v>2.2478260869565219</v>
      </c>
      <c r="P1037">
        <v>0.32500000000000001</v>
      </c>
    </row>
    <row r="1038" spans="15:16" x14ac:dyDescent="0.25">
      <c r="O1038">
        <v>2.25</v>
      </c>
      <c r="P1038">
        <v>0.32500000000000001</v>
      </c>
    </row>
    <row r="1039" spans="15:16" x14ac:dyDescent="0.25">
      <c r="O1039">
        <v>2.2521739130434781</v>
      </c>
      <c r="P1039">
        <v>0.32500000000000001</v>
      </c>
    </row>
    <row r="1040" spans="15:16" x14ac:dyDescent="0.25">
      <c r="O1040">
        <v>2.2543478260869567</v>
      </c>
      <c r="P1040">
        <v>0.32500000000000001</v>
      </c>
    </row>
    <row r="1041" spans="15:16" x14ac:dyDescent="0.25">
      <c r="O1041">
        <v>2.2565217391304349</v>
      </c>
      <c r="P1041">
        <v>0.32500000000000001</v>
      </c>
    </row>
    <row r="1042" spans="15:16" x14ac:dyDescent="0.25">
      <c r="O1042">
        <v>2.258695652173913</v>
      </c>
      <c r="P1042">
        <v>0.32500000000000001</v>
      </c>
    </row>
    <row r="1043" spans="15:16" x14ac:dyDescent="0.25">
      <c r="O1043">
        <v>2.2608695652173911</v>
      </c>
      <c r="P1043">
        <v>0.32500000000000001</v>
      </c>
    </row>
    <row r="1044" spans="15:16" x14ac:dyDescent="0.25">
      <c r="O1044">
        <v>2.2630434782608697</v>
      </c>
      <c r="P1044">
        <v>0.32500000000000001</v>
      </c>
    </row>
    <row r="1045" spans="15:16" x14ac:dyDescent="0.25">
      <c r="O1045">
        <v>2.2652173913043478</v>
      </c>
      <c r="P1045">
        <v>0.32500000000000001</v>
      </c>
    </row>
    <row r="1046" spans="15:16" x14ac:dyDescent="0.25">
      <c r="O1046">
        <v>2.267391304347826</v>
      </c>
      <c r="P1046">
        <v>0.32500000000000001</v>
      </c>
    </row>
    <row r="1047" spans="15:16" x14ac:dyDescent="0.25">
      <c r="O1047">
        <v>2.2695652173913046</v>
      </c>
      <c r="P1047">
        <v>0.32500000000000001</v>
      </c>
    </row>
    <row r="1048" spans="15:16" x14ac:dyDescent="0.25">
      <c r="O1048">
        <v>2.2717391304347827</v>
      </c>
      <c r="P1048">
        <v>0.32500000000000001</v>
      </c>
    </row>
    <row r="1049" spans="15:16" x14ac:dyDescent="0.25">
      <c r="O1049">
        <v>2.2739130434782608</v>
      </c>
      <c r="P1049">
        <v>0.32500000000000001</v>
      </c>
    </row>
    <row r="1050" spans="15:16" x14ac:dyDescent="0.25">
      <c r="O1050">
        <v>2.276086956521739</v>
      </c>
      <c r="P1050">
        <v>0.32500000000000001</v>
      </c>
    </row>
    <row r="1051" spans="15:16" x14ac:dyDescent="0.25">
      <c r="O1051">
        <v>2.2782608695652176</v>
      </c>
      <c r="P1051">
        <v>0.32500000000000001</v>
      </c>
    </row>
    <row r="1052" spans="15:16" x14ac:dyDescent="0.25">
      <c r="O1052">
        <v>2.2804347826086957</v>
      </c>
      <c r="P1052">
        <v>0.32500000000000001</v>
      </c>
    </row>
    <row r="1053" spans="15:16" x14ac:dyDescent="0.25">
      <c r="O1053">
        <v>2.2826086956521738</v>
      </c>
      <c r="P1053">
        <v>0.32500000000000001</v>
      </c>
    </row>
    <row r="1054" spans="15:16" x14ac:dyDescent="0.25">
      <c r="O1054">
        <v>2.284782608695652</v>
      </c>
      <c r="P1054">
        <v>0.32500000000000001</v>
      </c>
    </row>
    <row r="1055" spans="15:16" x14ac:dyDescent="0.25">
      <c r="O1055">
        <v>2.2869565217391306</v>
      </c>
      <c r="P1055">
        <v>0.32500000000000001</v>
      </c>
    </row>
    <row r="1056" spans="15:16" x14ac:dyDescent="0.25">
      <c r="O1056">
        <v>2.2891304347826087</v>
      </c>
      <c r="P1056">
        <v>0.32500000000000001</v>
      </c>
    </row>
    <row r="1057" spans="15:16" x14ac:dyDescent="0.25">
      <c r="O1057">
        <v>2.2913043478260868</v>
      </c>
      <c r="P1057">
        <v>0.32500000000000001</v>
      </c>
    </row>
    <row r="1058" spans="15:16" x14ac:dyDescent="0.25">
      <c r="O1058">
        <v>2.2934782608695654</v>
      </c>
      <c r="P1058">
        <v>0.32500000000000001</v>
      </c>
    </row>
    <row r="1059" spans="15:16" x14ac:dyDescent="0.25">
      <c r="O1059">
        <v>2.2956521739130435</v>
      </c>
      <c r="P1059">
        <v>0.32500000000000001</v>
      </c>
    </row>
    <row r="1060" spans="15:16" x14ac:dyDescent="0.25">
      <c r="O1060">
        <v>2.2978260869565217</v>
      </c>
      <c r="P1060">
        <v>0.32500000000000001</v>
      </c>
    </row>
    <row r="1061" spans="15:16" x14ac:dyDescent="0.25">
      <c r="O1061">
        <v>2.2999999999999998</v>
      </c>
      <c r="P1061">
        <v>0.32500000000000001</v>
      </c>
    </row>
    <row r="1062" spans="15:16" x14ac:dyDescent="0.25">
      <c r="O1062">
        <v>2.3021739130434784</v>
      </c>
      <c r="P1062">
        <v>0.32500000000000001</v>
      </c>
    </row>
    <row r="1063" spans="15:16" x14ac:dyDescent="0.25">
      <c r="O1063">
        <v>2.3043478260869565</v>
      </c>
      <c r="P1063">
        <v>0.32500000000000001</v>
      </c>
    </row>
    <row r="1064" spans="15:16" x14ac:dyDescent="0.25">
      <c r="O1064">
        <v>2.3065217391304347</v>
      </c>
      <c r="P1064">
        <v>0.32500000000000001</v>
      </c>
    </row>
    <row r="1065" spans="15:16" x14ac:dyDescent="0.25">
      <c r="O1065">
        <v>2.3086956521739133</v>
      </c>
      <c r="P1065">
        <v>0.32500000000000001</v>
      </c>
    </row>
    <row r="1066" spans="15:16" x14ac:dyDescent="0.25">
      <c r="O1066">
        <v>2.3108695652173914</v>
      </c>
      <c r="P1066">
        <v>0.32500000000000001</v>
      </c>
    </row>
    <row r="1067" spans="15:16" x14ac:dyDescent="0.25">
      <c r="O1067">
        <v>2.3130434782608695</v>
      </c>
      <c r="P1067">
        <v>0.32500000000000001</v>
      </c>
    </row>
    <row r="1068" spans="15:16" x14ac:dyDescent="0.25">
      <c r="O1068">
        <v>2.3152173913043477</v>
      </c>
      <c r="P1068">
        <v>0.32500000000000001</v>
      </c>
    </row>
    <row r="1069" spans="15:16" x14ac:dyDescent="0.25">
      <c r="O1069">
        <v>2.3173913043478263</v>
      </c>
      <c r="P1069">
        <v>0.32500000000000001</v>
      </c>
    </row>
    <row r="1070" spans="15:16" x14ac:dyDescent="0.25">
      <c r="O1070">
        <v>2.3195652173913044</v>
      </c>
      <c r="P1070">
        <v>0.32500000000000001</v>
      </c>
    </row>
    <row r="1071" spans="15:16" x14ac:dyDescent="0.25">
      <c r="O1071">
        <v>2.3217391304347825</v>
      </c>
      <c r="P1071">
        <v>0.32500000000000001</v>
      </c>
    </row>
    <row r="1072" spans="15:16" x14ac:dyDescent="0.25">
      <c r="O1072">
        <v>2.3239130434782607</v>
      </c>
      <c r="P1072">
        <v>0.32500000000000001</v>
      </c>
    </row>
    <row r="1073" spans="15:16" x14ac:dyDescent="0.25">
      <c r="O1073">
        <v>2.3260869565217392</v>
      </c>
      <c r="P1073">
        <v>0.32500000000000001</v>
      </c>
    </row>
    <row r="1074" spans="15:16" x14ac:dyDescent="0.25">
      <c r="O1074">
        <v>2.3282608695652174</v>
      </c>
      <c r="P1074">
        <v>0.32500000000000001</v>
      </c>
    </row>
    <row r="1075" spans="15:16" x14ac:dyDescent="0.25">
      <c r="O1075">
        <v>2.3304347826086955</v>
      </c>
      <c r="P1075">
        <v>0.32500000000000001</v>
      </c>
    </row>
    <row r="1076" spans="15:16" x14ac:dyDescent="0.25">
      <c r="O1076">
        <v>2.3326086956521741</v>
      </c>
      <c r="P1076">
        <v>0.32500000000000001</v>
      </c>
    </row>
    <row r="1077" spans="15:16" x14ac:dyDescent="0.25">
      <c r="O1077">
        <v>2.3347826086956522</v>
      </c>
      <c r="P1077">
        <v>0.32500000000000001</v>
      </c>
    </row>
    <row r="1078" spans="15:16" x14ac:dyDescent="0.25">
      <c r="O1078">
        <v>2.3369565217391304</v>
      </c>
      <c r="P1078">
        <v>0.32500000000000001</v>
      </c>
    </row>
    <row r="1079" spans="15:16" x14ac:dyDescent="0.25">
      <c r="O1079">
        <v>2.3391304347826085</v>
      </c>
      <c r="P1079">
        <v>0.32500000000000001</v>
      </c>
    </row>
    <row r="1080" spans="15:16" x14ac:dyDescent="0.25">
      <c r="O1080">
        <v>2.3413043478260871</v>
      </c>
      <c r="P1080">
        <v>0.32500000000000001</v>
      </c>
    </row>
    <row r="1081" spans="15:16" x14ac:dyDescent="0.25">
      <c r="O1081">
        <v>2.3434782608695652</v>
      </c>
      <c r="P1081">
        <v>0.32500000000000001</v>
      </c>
    </row>
    <row r="1082" spans="15:16" x14ac:dyDescent="0.25">
      <c r="O1082">
        <v>2.3456521739130434</v>
      </c>
      <c r="P1082">
        <v>0.32500000000000001</v>
      </c>
    </row>
    <row r="1083" spans="15:16" x14ac:dyDescent="0.25">
      <c r="O1083">
        <v>2.347826086956522</v>
      </c>
      <c r="P1083">
        <v>0.32500000000000001</v>
      </c>
    </row>
    <row r="1084" spans="15:16" x14ac:dyDescent="0.25">
      <c r="O1084">
        <v>2.35</v>
      </c>
      <c r="P1084">
        <v>0.32500000000000001</v>
      </c>
    </row>
    <row r="1085" spans="15:16" x14ac:dyDescent="0.25">
      <c r="O1085">
        <v>2.3521739130434782</v>
      </c>
      <c r="P1085">
        <v>0.32500000000000001</v>
      </c>
    </row>
    <row r="1086" spans="15:16" x14ac:dyDescent="0.25">
      <c r="O1086">
        <v>2.3543478260869564</v>
      </c>
      <c r="P1086">
        <v>0.32500000000000001</v>
      </c>
    </row>
    <row r="1087" spans="15:16" x14ac:dyDescent="0.25">
      <c r="O1087">
        <v>2.3565217391304349</v>
      </c>
      <c r="P1087">
        <v>0.32500000000000001</v>
      </c>
    </row>
    <row r="1088" spans="15:16" x14ac:dyDescent="0.25">
      <c r="O1088">
        <v>2.3586956521739131</v>
      </c>
      <c r="P1088">
        <v>0.32500000000000001</v>
      </c>
    </row>
    <row r="1089" spans="15:16" x14ac:dyDescent="0.25">
      <c r="O1089">
        <v>2.3608695652173912</v>
      </c>
      <c r="P1089">
        <v>0.32500000000000001</v>
      </c>
    </row>
    <row r="1090" spans="15:16" x14ac:dyDescent="0.25">
      <c r="O1090">
        <v>2.3630434782608694</v>
      </c>
      <c r="P1090">
        <v>0.32500000000000001</v>
      </c>
    </row>
    <row r="1091" spans="15:16" x14ac:dyDescent="0.25">
      <c r="O1091">
        <v>2.3652173913043479</v>
      </c>
      <c r="P1091">
        <v>0.32500000000000001</v>
      </c>
    </row>
    <row r="1092" spans="15:16" x14ac:dyDescent="0.25">
      <c r="O1092">
        <v>2.3673913043478261</v>
      </c>
      <c r="P1092">
        <v>0.32500000000000001</v>
      </c>
    </row>
    <row r="1093" spans="15:16" x14ac:dyDescent="0.25">
      <c r="O1093">
        <v>2.3695652173913042</v>
      </c>
      <c r="P1093">
        <v>0.32500000000000001</v>
      </c>
    </row>
    <row r="1094" spans="15:16" x14ac:dyDescent="0.25">
      <c r="O1094">
        <v>2.3717391304347828</v>
      </c>
      <c r="P1094">
        <v>0.32500000000000001</v>
      </c>
    </row>
    <row r="1095" spans="15:16" x14ac:dyDescent="0.25">
      <c r="O1095">
        <v>2.3739130434782609</v>
      </c>
      <c r="P1095">
        <v>0.32500000000000001</v>
      </c>
    </row>
    <row r="1096" spans="15:16" x14ac:dyDescent="0.25">
      <c r="O1096">
        <v>2.3760869565217391</v>
      </c>
      <c r="P1096">
        <v>0.32500000000000001</v>
      </c>
    </row>
    <row r="1097" spans="15:16" x14ac:dyDescent="0.25">
      <c r="O1097">
        <v>2.3782608695652172</v>
      </c>
      <c r="P1097">
        <v>0.32500000000000001</v>
      </c>
    </row>
    <row r="1098" spans="15:16" x14ac:dyDescent="0.25">
      <c r="O1098">
        <v>2.3804347826086958</v>
      </c>
      <c r="P1098">
        <v>0.32500000000000001</v>
      </c>
    </row>
    <row r="1099" spans="15:16" x14ac:dyDescent="0.25">
      <c r="O1099">
        <v>2.3826086956521739</v>
      </c>
      <c r="P1099">
        <v>0.32500000000000001</v>
      </c>
    </row>
    <row r="1100" spans="15:16" x14ac:dyDescent="0.25">
      <c r="O1100">
        <v>2.3847826086956521</v>
      </c>
      <c r="P1100">
        <v>0.32500000000000001</v>
      </c>
    </row>
    <row r="1101" spans="15:16" x14ac:dyDescent="0.25">
      <c r="O1101">
        <v>2.3869565217391306</v>
      </c>
      <c r="P1101">
        <v>0.32500000000000001</v>
      </c>
    </row>
    <row r="1102" spans="15:16" x14ac:dyDescent="0.25">
      <c r="O1102">
        <v>2.3891304347826088</v>
      </c>
      <c r="P1102">
        <v>0.32500000000000001</v>
      </c>
    </row>
    <row r="1103" spans="15:16" x14ac:dyDescent="0.25">
      <c r="O1103">
        <v>2.3913043478260869</v>
      </c>
      <c r="P1103">
        <v>0.32500000000000001</v>
      </c>
    </row>
    <row r="1104" spans="15:16" x14ac:dyDescent="0.25">
      <c r="O1104">
        <v>2.3934782608695651</v>
      </c>
      <c r="P1104">
        <v>0.32500000000000001</v>
      </c>
    </row>
    <row r="1105" spans="15:16" x14ac:dyDescent="0.25">
      <c r="O1105">
        <v>2.3956521739130436</v>
      </c>
      <c r="P1105">
        <v>0.32500000000000001</v>
      </c>
    </row>
    <row r="1106" spans="15:16" x14ac:dyDescent="0.25">
      <c r="O1106">
        <v>2.3978260869565218</v>
      </c>
      <c r="P1106">
        <v>0.32500000000000001</v>
      </c>
    </row>
    <row r="1107" spans="15:16" x14ac:dyDescent="0.25">
      <c r="O1107">
        <v>2.4</v>
      </c>
      <c r="P1107">
        <v>0.32500000000000001</v>
      </c>
    </row>
    <row r="1108" spans="15:16" x14ac:dyDescent="0.25">
      <c r="O1108">
        <v>2.402173913043478</v>
      </c>
      <c r="P1108">
        <v>0.32500000000000001</v>
      </c>
    </row>
    <row r="1109" spans="15:16" x14ac:dyDescent="0.25">
      <c r="O1109">
        <v>2.4043478260869566</v>
      </c>
      <c r="P1109">
        <v>0.32500000000000001</v>
      </c>
    </row>
    <row r="1110" spans="15:16" x14ac:dyDescent="0.25">
      <c r="O1110">
        <v>2.4065217391304348</v>
      </c>
      <c r="P1110">
        <v>0.32500000000000001</v>
      </c>
    </row>
    <row r="1111" spans="15:16" x14ac:dyDescent="0.25">
      <c r="O1111">
        <v>2.4086956521739129</v>
      </c>
      <c r="P1111">
        <v>0.32500000000000001</v>
      </c>
    </row>
    <row r="1112" spans="15:16" x14ac:dyDescent="0.25">
      <c r="O1112">
        <v>2.4108695652173915</v>
      </c>
      <c r="P1112">
        <v>0.32500000000000001</v>
      </c>
    </row>
    <row r="1113" spans="15:16" x14ac:dyDescent="0.25">
      <c r="O1113">
        <v>2.4130434782608696</v>
      </c>
      <c r="P1113">
        <v>0.32500000000000001</v>
      </c>
    </row>
    <row r="1114" spans="15:16" x14ac:dyDescent="0.25">
      <c r="O1114">
        <v>2.4152173913043478</v>
      </c>
      <c r="P1114">
        <v>0.32500000000000001</v>
      </c>
    </row>
    <row r="1115" spans="15:16" x14ac:dyDescent="0.25">
      <c r="O1115">
        <v>2.4173913043478259</v>
      </c>
      <c r="P1115">
        <v>0.32500000000000001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BasicValue</vt:lpstr>
      <vt:lpstr>Input</vt:lpstr>
      <vt:lpstr>Grade</vt:lpstr>
      <vt:lpstr>Statistics</vt:lpstr>
      <vt:lpstr>References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Sarthak Aganja</dc:creator>
  <cp:lastModifiedBy>Sarthak Aganja</cp:lastModifiedBy>
  <cp:lastPrinted>2024-06-20T16:00:12Z</cp:lastPrinted>
  <dcterms:created xsi:type="dcterms:W3CDTF">2024-06-19T04:20:40Z</dcterms:created>
  <dcterms:modified xsi:type="dcterms:W3CDTF">2024-07-12T16:38:30Z</dcterms:modified>
</cp:coreProperties>
</file>